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Shared drives\GMS Project Data\Athletics\-3- IAAF Events\IAAF World Championships\World Athletics Indoor Championships\IAAF-2026\Workfile\"/>
    </mc:Choice>
  </mc:AlternateContent>
  <xr:revisionPtr revIDLastSave="0" documentId="13_ncr:1_{219C2CDB-6F55-443A-AA00-0D2B894091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  <sheet name="Data" sheetId="2" r:id="rId2"/>
    <sheet name="Fixtures list" sheetId="3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1" hidden="1">Data!$A$5:$C$24</definedName>
    <definedName name="_xlnm._FilterDatabase" localSheetId="2" hidden="1">'Fixtures list'!$A$1:$O$7</definedName>
    <definedName name="_xlnm._FilterDatabase" localSheetId="0" hidden="1">Worksheet!$A$6:$BA$425</definedName>
    <definedName name="Amplitude">[1]Information_PRINT!$P$3:$P$6</definedName>
    <definedName name="Analysis">[1]Information_PRINT!$L$3:$L$6</definedName>
    <definedName name="BC">Data!$E$2:$E$20</definedName>
    <definedName name="Choice">#REF!</definedName>
    <definedName name="ckbx238">#REF!</definedName>
    <definedName name="competition" localSheetId="2">Data!$B$7:$B$12</definedName>
    <definedName name="Competition">OFFSET(#REF!,0,0,COUNTA(#REF!),1)</definedName>
    <definedName name="Concatenate_General">'Fixtures list'!$A:$A</definedName>
    <definedName name="Croatia">#REF!</definedName>
    <definedName name="Croatien">#REF!</definedName>
    <definedName name="Date">'Fixtures list'!$I:$I</definedName>
    <definedName name="DL">[2]Information_PRINT!$C$3:$C$148+[2]Information_PRINT!$I$3:$I$9</definedName>
    <definedName name="DLOnline">[1]Information_ONLINE!$B$3:$B$4</definedName>
    <definedName name="EURO_Rate">'[3]Exchange Rates'!$C$11</definedName>
    <definedName name="Evaluation">[4]PRINT!$H$5:$H$8</definedName>
    <definedName name="Evaluation_Online">#REF!</definedName>
    <definedName name="Event">'Fixtures list'!$C:$C</definedName>
    <definedName name="Ficture">#REF!</definedName>
    <definedName name="Fixture">'Fixtures list'!$E:$E</definedName>
    <definedName name="LastColumnforImport">#REF!</definedName>
    <definedName name="LimitDuration">[5]Weightings!$C$2</definedName>
    <definedName name="Market">Data!$D$2:$D$25</definedName>
    <definedName name="Matchday">'Fixtures list'!$D:$D</definedName>
    <definedName name="Panel">[1]Information_PRINT!$J$3:$J$6</definedName>
    <definedName name="Panel1">[1]Information_ONLINE!$C$3:$C$6</definedName>
    <definedName name="Pivot">#REF!</definedName>
    <definedName name="Provider">[1]Information_PRINT!$I$4:$I$9</definedName>
    <definedName name="Reporting">[1]Information_PRINT!$M$3:$M$4</definedName>
    <definedName name="Retail1">#REF!</definedName>
    <definedName name="RgCellToPasteTo">#REF!</definedName>
    <definedName name="rgChannels">[1]!Tabelle1[[#All],[Spalte1]:[Channel ID]]</definedName>
    <definedName name="RgColumns2Hide">#REF!</definedName>
    <definedName name="RgCountryList">[3]!ExchangeRates[Country]</definedName>
    <definedName name="RgCPTFloorFactor">[3]Weightings!$C$10</definedName>
    <definedName name="RgDayPartsCountries">[3]Dayparts!$A$8:$A$289</definedName>
    <definedName name="RgDayPartsHours">[3]Dayparts!$B$7:$AF$7</definedName>
    <definedName name="RgDayPartsTable">[3]Dayparts!$B$8:$AF$289</definedName>
    <definedName name="RgDedicatedHeaders">[3]dedicated!#REF!</definedName>
    <definedName name="RgPrimeAdj?">[3]Weightings!$C$3</definedName>
    <definedName name="RgWeightings">[3]!WeightingsSPOT[#Headers]</definedName>
    <definedName name="Sports">[3]!CountryTable[[#Headers],[American Football]:[Niche]]</definedName>
    <definedName name="Start_Time">'Fixtures list'!$J:$J</definedName>
    <definedName name="Teamname">#REF!</definedName>
    <definedName name="type" localSheetId="2">Data!$A$8:$A$12</definedName>
    <definedName name="type">#REF!</definedName>
    <definedName name="UseRepeatDiscount">[5]Weightings!$C$1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iK8VoeOhGLoMaJ/AHjbNeVK867dv6Qn0VjD/iysPtfY="/>
    </ext>
  </extLst>
</workbook>
</file>

<file path=xl/calcChain.xml><?xml version="1.0" encoding="utf-8"?>
<calcChain xmlns="http://schemas.openxmlformats.org/spreadsheetml/2006/main">
  <c r="A4" i="3" l="1"/>
  <c r="B4" i="3"/>
  <c r="A5" i="3"/>
  <c r="B5" i="3"/>
  <c r="A6" i="3"/>
  <c r="B6" i="3"/>
  <c r="A7" i="3"/>
  <c r="B7" i="3"/>
  <c r="O274" i="1" l="1"/>
  <c r="O277" i="1"/>
  <c r="O336" i="1"/>
  <c r="O261" i="1"/>
  <c r="O307" i="1"/>
  <c r="O308" i="1"/>
  <c r="O332" i="1"/>
  <c r="O262" i="1"/>
  <c r="O309" i="1"/>
  <c r="O310" i="1"/>
  <c r="O337" i="1"/>
  <c r="O254" i="1"/>
  <c r="O296" i="1"/>
  <c r="O204" i="1"/>
  <c r="O200" i="1"/>
  <c r="O193" i="1"/>
  <c r="O181" i="1"/>
  <c r="O215" i="1"/>
  <c r="O245" i="1"/>
  <c r="O136" i="1"/>
  <c r="O140" i="1"/>
  <c r="O137" i="1"/>
  <c r="O138" i="1"/>
  <c r="O167" i="1"/>
  <c r="O168" i="1"/>
  <c r="O169" i="1"/>
  <c r="O170" i="1"/>
  <c r="O205" i="1"/>
  <c r="O171" i="1"/>
  <c r="O134" i="1"/>
  <c r="O196" i="1"/>
  <c r="O201" i="1"/>
  <c r="O243" i="1"/>
  <c r="O186" i="1"/>
  <c r="O187" i="1"/>
  <c r="O206" i="1"/>
  <c r="O188" i="1"/>
  <c r="O227" i="1"/>
  <c r="O230" i="1"/>
  <c r="O189" i="1"/>
  <c r="O190" i="1"/>
  <c r="O191" i="1"/>
  <c r="O198" i="1"/>
  <c r="O237" i="1"/>
  <c r="O219" i="1"/>
  <c r="O250" i="1"/>
  <c r="O258" i="1"/>
  <c r="O232" i="1"/>
  <c r="O228" i="1"/>
  <c r="O249" i="1"/>
  <c r="O222" i="1"/>
  <c r="O241" i="1"/>
  <c r="O252" i="1"/>
  <c r="O174" i="1"/>
  <c r="O175" i="1"/>
  <c r="O197" i="1"/>
  <c r="O176" i="1"/>
  <c r="O185" i="1"/>
  <c r="O177" i="1"/>
  <c r="O178" i="1"/>
  <c r="O179" i="1"/>
  <c r="O180" i="1"/>
  <c r="O210" i="1"/>
  <c r="O182" i="1"/>
  <c r="O135" i="1"/>
  <c r="O166" i="1"/>
  <c r="O194" i="1"/>
  <c r="O124" i="1"/>
  <c r="O152" i="1"/>
  <c r="O125" i="1"/>
  <c r="O126" i="1"/>
  <c r="O127" i="1"/>
  <c r="O128" i="1"/>
  <c r="O129" i="1"/>
  <c r="O130" i="1"/>
  <c r="O131" i="1"/>
  <c r="O157" i="1"/>
  <c r="O132" i="1"/>
  <c r="O151" i="1"/>
  <c r="O142" i="1"/>
  <c r="O149" i="1"/>
  <c r="O147" i="1"/>
  <c r="O202" i="1"/>
  <c r="O97" i="1"/>
  <c r="O92" i="1"/>
  <c r="O107" i="1"/>
  <c r="O156" i="1"/>
  <c r="O173" i="1"/>
  <c r="O203" i="1"/>
  <c r="O98" i="1"/>
  <c r="O95" i="1"/>
  <c r="O214" i="1"/>
  <c r="O224" i="1"/>
  <c r="O248" i="1"/>
  <c r="O102" i="1"/>
  <c r="O115" i="1"/>
  <c r="O139" i="1"/>
  <c r="O148" i="1"/>
  <c r="O329" i="1"/>
  <c r="O328" i="1"/>
  <c r="O330" i="1"/>
  <c r="O331" i="1"/>
  <c r="O99" i="1"/>
  <c r="O100" i="1"/>
  <c r="O145" i="1"/>
  <c r="O266" i="1"/>
  <c r="O101" i="1"/>
  <c r="O233" i="1"/>
  <c r="O93" i="1"/>
  <c r="O184" i="1"/>
  <c r="O103" i="1"/>
  <c r="O94" i="1"/>
  <c r="O104" i="1"/>
  <c r="O116" i="1"/>
  <c r="O158" i="1"/>
  <c r="O324" i="1"/>
  <c r="O367" i="1"/>
  <c r="O346" i="1"/>
  <c r="O356" i="1"/>
  <c r="O351" i="1"/>
  <c r="O357" i="1"/>
  <c r="O363" i="1"/>
  <c r="O362" i="1"/>
  <c r="O370" i="1"/>
  <c r="O302" i="1"/>
  <c r="O195" i="1"/>
  <c r="O225" i="1"/>
  <c r="O305" i="1"/>
  <c r="O247" i="1"/>
  <c r="O314" i="1"/>
  <c r="O283" i="1"/>
  <c r="O326" i="1"/>
  <c r="O335" i="1"/>
  <c r="O348" i="1"/>
  <c r="O226" i="1"/>
  <c r="O315" i="1"/>
  <c r="O361" i="1"/>
  <c r="O304" i="1"/>
  <c r="O269" i="1"/>
  <c r="O350" i="1"/>
  <c r="O364" i="1"/>
  <c r="O360" i="1"/>
  <c r="O231" i="1"/>
  <c r="O341" i="1"/>
  <c r="O338" i="1"/>
  <c r="O353" i="1"/>
  <c r="O352" i="1"/>
  <c r="O354" i="1"/>
  <c r="O289" i="1"/>
  <c r="O325" i="1"/>
  <c r="O333" i="1"/>
  <c r="O303" i="1"/>
  <c r="O311" i="1"/>
  <c r="O259" i="1"/>
  <c r="O339" i="1"/>
  <c r="O343" i="1"/>
  <c r="O349" i="1"/>
  <c r="O253" i="1"/>
  <c r="O278" i="1"/>
  <c r="O235" i="1"/>
  <c r="O146" i="1"/>
  <c r="O172" i="1"/>
  <c r="O212" i="1"/>
  <c r="O280" i="1"/>
  <c r="O318" i="1"/>
  <c r="O264" i="1"/>
  <c r="O153" i="1"/>
  <c r="O150" i="1"/>
  <c r="O256" i="1"/>
  <c r="O316" i="1"/>
  <c r="O265" i="1"/>
  <c r="O229" i="1"/>
  <c r="O106" i="1"/>
  <c r="O141" i="1"/>
  <c r="O105" i="1"/>
  <c r="O287" i="1"/>
  <c r="O288" i="1"/>
  <c r="O298" i="1"/>
  <c r="O299" i="1"/>
  <c r="O300" i="1"/>
  <c r="O313" i="1"/>
  <c r="O211" i="1"/>
  <c r="O268" i="1"/>
  <c r="O270" i="1"/>
  <c r="O159" i="1"/>
  <c r="O160" i="1"/>
  <c r="O161" i="1"/>
  <c r="O162" i="1"/>
  <c r="O281" i="1"/>
  <c r="O312" i="1"/>
  <c r="O163" i="1"/>
  <c r="O209" i="1"/>
  <c r="O279" i="1"/>
  <c r="O295" i="1"/>
  <c r="O155" i="1"/>
  <c r="O297" i="1"/>
  <c r="O109" i="1"/>
  <c r="O110" i="1"/>
  <c r="O111" i="1"/>
  <c r="O242" i="1"/>
  <c r="O223" i="1"/>
  <c r="O117" i="1"/>
  <c r="O118" i="1"/>
  <c r="O119" i="1"/>
  <c r="O164" i="1"/>
  <c r="O240" i="1"/>
  <c r="O120" i="1"/>
  <c r="O322" i="1"/>
  <c r="O319" i="1"/>
  <c r="O121" i="1"/>
  <c r="O165" i="1"/>
  <c r="O122" i="1"/>
  <c r="O293" i="1"/>
  <c r="O284" i="1"/>
  <c r="O112" i="1"/>
  <c r="O113" i="1"/>
  <c r="O114" i="1"/>
  <c r="O217" i="1"/>
  <c r="O236" i="1"/>
  <c r="O207" i="1"/>
  <c r="O123" i="1"/>
  <c r="O133" i="1"/>
  <c r="O285" i="1"/>
  <c r="O301" i="1"/>
  <c r="O286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347" i="1"/>
  <c r="O334" i="1"/>
  <c r="O239" i="1"/>
  <c r="O220" i="1"/>
  <c r="O208" i="1"/>
  <c r="O192" i="1"/>
  <c r="O218" i="1"/>
  <c r="O216" i="1"/>
  <c r="O143" i="1"/>
  <c r="O213" i="1"/>
  <c r="O246" i="1"/>
  <c r="O276" i="1"/>
  <c r="O255" i="1"/>
  <c r="O260" i="1"/>
  <c r="O221" i="1"/>
  <c r="O244" i="1"/>
  <c r="O294" i="1"/>
  <c r="O275" i="1"/>
  <c r="O267" i="1"/>
  <c r="O144" i="1"/>
  <c r="O306" i="1"/>
  <c r="O321" i="1"/>
  <c r="O342" i="1"/>
  <c r="O345" i="1"/>
  <c r="O340" i="1"/>
  <c r="O359" i="1"/>
  <c r="O368" i="1"/>
  <c r="O366" i="1"/>
  <c r="O358" i="1"/>
  <c r="O251" i="1"/>
  <c r="O257" i="1"/>
  <c r="O272" i="1"/>
  <c r="O199" i="1"/>
  <c r="O96" i="1"/>
  <c r="O108" i="1"/>
  <c r="O183" i="1"/>
  <c r="O154" i="1"/>
  <c r="O344" i="1"/>
  <c r="O369" i="1"/>
  <c r="O355" i="1"/>
  <c r="O371" i="1"/>
  <c r="O365" i="1"/>
  <c r="O372" i="1"/>
  <c r="O271" i="1"/>
  <c r="O291" i="1"/>
  <c r="O273" i="1"/>
  <c r="O320" i="1"/>
  <c r="O292" i="1"/>
  <c r="O327" i="1"/>
  <c r="O238" i="1"/>
  <c r="O290" i="1"/>
  <c r="O263" i="1"/>
  <c r="O317" i="1"/>
  <c r="O282" i="1"/>
  <c r="O323" i="1"/>
  <c r="O40" i="1"/>
  <c r="O41" i="1"/>
  <c r="O42" i="1"/>
  <c r="O43" i="1"/>
  <c r="O44" i="1"/>
  <c r="O45" i="1"/>
  <c r="O91" i="1"/>
  <c r="O81" i="1"/>
  <c r="O82" i="1"/>
  <c r="O84" i="1"/>
  <c r="O85" i="1"/>
  <c r="O54" i="1"/>
  <c r="O67" i="1"/>
  <c r="O48" i="1"/>
  <c r="O51" i="1"/>
  <c r="O55" i="1"/>
  <c r="O56" i="1"/>
  <c r="O66" i="1"/>
  <c r="O68" i="1"/>
  <c r="O61" i="1"/>
  <c r="O31" i="1"/>
  <c r="O20" i="1"/>
  <c r="O21" i="1"/>
  <c r="O27" i="1"/>
  <c r="O28" i="1"/>
  <c r="O88" i="1"/>
  <c r="O90" i="1"/>
  <c r="O89" i="1"/>
  <c r="O35" i="1"/>
  <c r="O408" i="1"/>
  <c r="O409" i="1"/>
  <c r="O410" i="1"/>
  <c r="O69" i="1"/>
  <c r="O75" i="1"/>
  <c r="O72" i="1"/>
  <c r="O19" i="1"/>
  <c r="O29" i="1"/>
  <c r="O23" i="1"/>
  <c r="O70" i="1"/>
  <c r="O76" i="1"/>
  <c r="O73" i="1"/>
  <c r="O58" i="1"/>
  <c r="O71" i="1"/>
  <c r="O74" i="1"/>
  <c r="O22" i="1"/>
  <c r="O33" i="1"/>
  <c r="O37" i="1"/>
  <c r="O36" i="1"/>
  <c r="O38" i="1"/>
  <c r="O419" i="1"/>
  <c r="O424" i="1"/>
  <c r="O414" i="1"/>
  <c r="O420" i="1"/>
  <c r="O425" i="1"/>
  <c r="O415" i="1"/>
  <c r="O421" i="1"/>
  <c r="O422" i="1"/>
  <c r="O423" i="1"/>
  <c r="O411" i="1"/>
  <c r="O416" i="1"/>
  <c r="O412" i="1"/>
  <c r="O417" i="1"/>
  <c r="O413" i="1"/>
  <c r="O418" i="1"/>
  <c r="O234" i="1"/>
  <c r="N7" i="3" l="1"/>
  <c r="M7" i="3"/>
  <c r="N6" i="3"/>
  <c r="M6" i="3"/>
  <c r="N5" i="3"/>
  <c r="M5" i="3"/>
  <c r="N4" i="3"/>
  <c r="M4" i="3"/>
  <c r="N3" i="3"/>
  <c r="M3" i="3"/>
  <c r="A3" i="3"/>
  <c r="B3" i="3" s="1"/>
  <c r="N2" i="3"/>
  <c r="M2" i="3"/>
  <c r="A2" i="3"/>
  <c r="Y4" i="1"/>
  <c r="W4" i="1" s="1"/>
  <c r="R4" i="1"/>
  <c r="O4" i="1"/>
  <c r="J4" i="1"/>
  <c r="T4" i="1" l="1" a="1"/>
  <c r="T4" i="1" s="1"/>
  <c r="V4" i="1" a="1"/>
  <c r="V4" i="1" s="1"/>
  <c r="B2" i="3"/>
</calcChain>
</file>

<file path=xl/sharedStrings.xml><?xml version="1.0" encoding="utf-8"?>
<sst xmlns="http://schemas.openxmlformats.org/spreadsheetml/2006/main" count="11798" uniqueCount="382">
  <si>
    <t>Project</t>
  </si>
  <si>
    <t>Region</t>
  </si>
  <si>
    <t>Market</t>
  </si>
  <si>
    <t>Market ID</t>
  </si>
  <si>
    <t>Broadcaster</t>
  </si>
  <si>
    <t>TV-Channel</t>
  </si>
  <si>
    <t>Channel ID</t>
  </si>
  <si>
    <t>Pay/Free TV</t>
  </si>
  <si>
    <t>Date (UTC/GMT)</t>
  </si>
  <si>
    <t>Date</t>
  </si>
  <si>
    <t>Day</t>
  </si>
  <si>
    <t>Start (UTC)</t>
  </si>
  <si>
    <t>End (UTC)</t>
  </si>
  <si>
    <t>Start</t>
  </si>
  <si>
    <t>End</t>
  </si>
  <si>
    <t>Duration</t>
  </si>
  <si>
    <t>Program Title</t>
  </si>
  <si>
    <t>Program Description</t>
  </si>
  <si>
    <t>Combined</t>
  </si>
  <si>
    <t>Type of program</t>
  </si>
  <si>
    <t>Event</t>
  </si>
  <si>
    <t>Competition</t>
  </si>
  <si>
    <t>Matchday</t>
  </si>
  <si>
    <t>Phase / Fixture / Episode Desc.</t>
  </si>
  <si>
    <t>Home Team</t>
  </si>
  <si>
    <t>Vs</t>
  </si>
  <si>
    <t>Away Team</t>
  </si>
  <si>
    <t>Gender</t>
  </si>
  <si>
    <t>Check</t>
  </si>
  <si>
    <t>Aud. Estimates ['000s]</t>
  </si>
  <si>
    <t>TVR% 3+</t>
  </si>
  <si>
    <t>Aud Metered (000s) 3+</t>
  </si>
  <si>
    <t>Share% 3+</t>
  </si>
  <si>
    <t>TVR% 14+</t>
  </si>
  <si>
    <t>Aud Metered (000s) 14+</t>
  </si>
  <si>
    <t>Share% 14+</t>
  </si>
  <si>
    <t>CPT's [Euro]</t>
  </si>
  <si>
    <t>Spot price in Euro [30 sec.]</t>
  </si>
  <si>
    <t>Spot price in Euro [1 sec.]</t>
  </si>
  <si>
    <t>Fixture analysis</t>
  </si>
  <si>
    <t>Brandbase upload</t>
  </si>
  <si>
    <t>Source</t>
  </si>
  <si>
    <t>Season</t>
  </si>
  <si>
    <t>Type of programme</t>
  </si>
  <si>
    <t>All Competitions</t>
  </si>
  <si>
    <t>MAT</t>
  </si>
  <si>
    <t>Live</t>
  </si>
  <si>
    <t>Delayed</t>
  </si>
  <si>
    <t>Repeat</t>
  </si>
  <si>
    <t>Highlights</t>
  </si>
  <si>
    <t>Magazine &amp; Support</t>
  </si>
  <si>
    <t>Concatenate General</t>
  </si>
  <si>
    <t>Concatenate Live</t>
  </si>
  <si>
    <t>Start Time</t>
  </si>
  <si>
    <t>End Time</t>
  </si>
  <si>
    <t>Program Start</t>
  </si>
  <si>
    <t>Date + Time UTC</t>
  </si>
  <si>
    <t>Fixture</t>
  </si>
  <si>
    <t>Argentina</t>
  </si>
  <si>
    <t/>
  </si>
  <si>
    <t>South Africa</t>
  </si>
  <si>
    <t>AURA</t>
  </si>
  <si>
    <t>Australia</t>
  </si>
  <si>
    <t>Ireland</t>
  </si>
  <si>
    <t>Italy</t>
  </si>
  <si>
    <t>Africa and Middle East</t>
  </si>
  <si>
    <t>MultiChoice</t>
  </si>
  <si>
    <t>Mon</t>
  </si>
  <si>
    <t>Central and South America</t>
  </si>
  <si>
    <t>Grupo Clarin</t>
  </si>
  <si>
    <t>TyC Sports</t>
  </si>
  <si>
    <t>Sat</t>
  </si>
  <si>
    <t>MUNDIAL DE ATLET INDOOR</t>
  </si>
  <si>
    <t>IAAF World Indoor Championships</t>
  </si>
  <si>
    <t>Sun</t>
  </si>
  <si>
    <t>MUNDIAL DE ATLET INDOR(R)</t>
  </si>
  <si>
    <t>Asia Pacific</t>
  </si>
  <si>
    <t>Nine Network</t>
  </si>
  <si>
    <t>9GO</t>
  </si>
  <si>
    <t>Fri</t>
  </si>
  <si>
    <t>WORLD ATHLETICS INDOOR CHAMPIONSHIPS - POLAND -EARLY</t>
  </si>
  <si>
    <t>DAY 1 - MORNING SESSION</t>
  </si>
  <si>
    <t>WORLD ATHLETICS INDOOR CHAMPIONSHIPS - POLAND -EARLY DAY 1 - MORNING SESSION</t>
  </si>
  <si>
    <t>WORLD ATHLETICS INDOOR CHAMPIONSHIPS - POLAND -LATE</t>
  </si>
  <si>
    <t>DAY 1 - NIGHT SESSION</t>
  </si>
  <si>
    <t>WORLD ATHLETICS INDOOR CHAMPIONSHIPS - POLAND -LATE DAY 1 - NIGHT SESSION</t>
  </si>
  <si>
    <t>WORLD ATHLETICS INDOOR CHAMPIONSHIPS - POLAND -LATE DAY 1 - MORNING SESSION</t>
  </si>
  <si>
    <t>DAY 2 - MORNING SESSION</t>
  </si>
  <si>
    <t>WORLD ATHLETICS INDOOR CHAMPIONSHIPS - POLAND -EARLY DAY 2 - MORNING SESSION</t>
  </si>
  <si>
    <t>DAY 2 - NIGHT SESSION</t>
  </si>
  <si>
    <t>WORLD ATHLETICS INDOOR CHAMPIONSHIPS - POLAND -LATE DAY 2 - NIGHT SESSION</t>
  </si>
  <si>
    <t>WORLD ATHLETICS INDOOR CHAMPIONSHIPS - POLAND -LATE DAY 2 - MORNING SESSION</t>
  </si>
  <si>
    <t>DAY 3 - MORNING SESSION</t>
  </si>
  <si>
    <t>WORLD ATHLETICS INDOOR CHAMPIONSHIPS - POLAND -EARLY DAY 3 - MORNING SESSION</t>
  </si>
  <si>
    <t>DAY 3 - NIGHT SESSION</t>
  </si>
  <si>
    <t>WORLD ATHLETICS INDOOR CHAMPIONSHIPS - POLAND -LATE DAY 3 - NIGHT SESSION</t>
  </si>
  <si>
    <t>Europe</t>
  </si>
  <si>
    <t>Austria</t>
  </si>
  <si>
    <t>ORF</t>
  </si>
  <si>
    <t>Tue</t>
  </si>
  <si>
    <t>Day 01</t>
  </si>
  <si>
    <t>LEICHTATHLETIK HALLEN WM DAMEN 7KAMPF TORUN TAG 1</t>
  </si>
  <si>
    <t>LEICHTATHLETIK HALLEN WM TORUN TAG 1 HL</t>
  </si>
  <si>
    <t>LEICHTATHLETIK HALLEN WM TORUN TAG 2</t>
  </si>
  <si>
    <t>Day 02</t>
  </si>
  <si>
    <t>LEICHTATHLETIK HALLEN WM TORUN TAG 2 HL</t>
  </si>
  <si>
    <t>LEICHTATHLETIK HALLEN WM TORUN TAG 3</t>
  </si>
  <si>
    <t>Day 03</t>
  </si>
  <si>
    <t>REITEN AMADEUS HORSE INDOORS DRESSUR FREESTYLE SALZBURG HL</t>
  </si>
  <si>
    <t>LEICHTATHLETIK HALLEN WM TORUN TAG 3 HL</t>
  </si>
  <si>
    <t>Wed</t>
  </si>
  <si>
    <t>Brazil</t>
  </si>
  <si>
    <t>Globo Group</t>
  </si>
  <si>
    <t>SporTV 2 BR</t>
  </si>
  <si>
    <t>ATLETISMO VIVO</t>
  </si>
  <si>
    <t>ATL MUNDIAL INDOOR MASC VIVO</t>
  </si>
  <si>
    <t>ATLETISMO VIVO ATL MUNDIAL INDOOR MASC VIVO</t>
  </si>
  <si>
    <t>ATL MUNDIAL INDOOR FEM VIVO</t>
  </si>
  <si>
    <t>ATLETISMO VIVO ATL MUNDIAL INDOOR FEM VIVO</t>
  </si>
  <si>
    <t>ATL MUNDIAL INDOOR MISTO VIVO</t>
  </si>
  <si>
    <t>ATLETISMO VIVO ATL MUNDIAL INDOOR MISTO VIVO</t>
  </si>
  <si>
    <t>SporTV 3 BR</t>
  </si>
  <si>
    <t>ATLETISMO</t>
  </si>
  <si>
    <t>ATL MUNDIAL INDOOR FEM VT</t>
  </si>
  <si>
    <t>ATLETISMO ATL MUNDIAL INDOOR FEM VT</t>
  </si>
  <si>
    <t>ATL MUNDIAL INDOOR MASC VT</t>
  </si>
  <si>
    <t>ATLETISMO ATL MUNDIAL INDOOR MASC VT</t>
  </si>
  <si>
    <t>Bulgaria</t>
  </si>
  <si>
    <t>BNT Bulgaria</t>
  </si>
  <si>
    <t>BNT 3</t>
  </si>
  <si>
    <t>World Athletics Indoor Championships 2026 /live/</t>
  </si>
  <si>
    <t>World Athletics Indoor Championships 2026</t>
  </si>
  <si>
    <t>Croatia</t>
  </si>
  <si>
    <t>HRT</t>
  </si>
  <si>
    <t>HRT 2</t>
  </si>
  <si>
    <t>ATLETIKA - SVJETSKO DVORANSKO PRVENSTVO - PRIJENOS</t>
  </si>
  <si>
    <t>TORUN</t>
  </si>
  <si>
    <t>ATLETIKA - SVJETSKO DVORANSKO PRVENSTVO - PRIJENOS TORUN</t>
  </si>
  <si>
    <t>Cyprus</t>
  </si>
  <si>
    <t>CyBC</t>
  </si>
  <si>
    <t>RIK 1</t>
  </si>
  <si>
    <t>PROMO</t>
  </si>
  <si>
    <t>WORLD ATHLETICS INDOOR CHAMPIONSHIPS KUJAWY POMORZE 2026</t>
  </si>
  <si>
    <t>PROMO WORLD ATHLETICS INDOOR CHAMPIONSHIPS KUJAWY POMORZE 2026</t>
  </si>
  <si>
    <t>RIK 2</t>
  </si>
  <si>
    <t>(K)-LIVE</t>
  </si>
  <si>
    <t>WORLD ATHLETICS INDOOR CHAMPIONSHIPS KUJAWY POMORZE 2026 (K)-LIVE</t>
  </si>
  <si>
    <t>Denmark</t>
  </si>
  <si>
    <t>Danmarks Radio (DR)</t>
  </si>
  <si>
    <t>DR 2</t>
  </si>
  <si>
    <t>VM atletik med stafet og højdespring</t>
  </si>
  <si>
    <t>VM atletik med stafet og højdespring VM atletik med stafet og højdespring</t>
  </si>
  <si>
    <t>Finland</t>
  </si>
  <si>
    <t>YLE</t>
  </si>
  <si>
    <t>YLE TV1</t>
  </si>
  <si>
    <t>World Indoor Championships in Athletics</t>
  </si>
  <si>
    <t>3rd race day evening races</t>
  </si>
  <si>
    <t>World Indoor Championships in Athletics 3rd race day evening races</t>
  </si>
  <si>
    <t>YLE TV2</t>
  </si>
  <si>
    <t>Race Day 1 Morning Races</t>
  </si>
  <si>
    <t>World Indoor Championships in Athletics Race Day 1 Morning Races</t>
  </si>
  <si>
    <t>1st race day evening races, compilation</t>
  </si>
  <si>
    <t>World Indoor Championships in Athletics 1st race day evening races, compilation</t>
  </si>
  <si>
    <t>Race Day 2 Morning Races</t>
  </si>
  <si>
    <t>World Indoor Championships in Athletics Race Day 2 Morning Races</t>
  </si>
  <si>
    <t>Race Day 2 Evening Races, Compilation</t>
  </si>
  <si>
    <t>World Indoor Championships in Athletics Race Day 2 Evening Races, Compilation</t>
  </si>
  <si>
    <t>3rd Race Day Morning Races</t>
  </si>
  <si>
    <t>World Indoor Championships in Athletics 3rd Race Day Morning Races</t>
  </si>
  <si>
    <t>Hungary</t>
  </si>
  <si>
    <t>MTVA</t>
  </si>
  <si>
    <t>M4 Sport</t>
  </si>
  <si>
    <t>ATLETIKA</t>
  </si>
  <si>
    <t>FEDETTPALYAS VILAGBAJNOKSAG</t>
  </si>
  <si>
    <t>ATLETIKA FEDETTPALYAS VILAGBAJNOKSAG</t>
  </si>
  <si>
    <t>Virgin Media Television</t>
  </si>
  <si>
    <t>Virgin Media Two</t>
  </si>
  <si>
    <t>Rai Italia</t>
  </si>
  <si>
    <t>Rai Sport+ HD</t>
  </si>
  <si>
    <t>ATLETICA LEGGERA</t>
  </si>
  <si>
    <t>CAMPIONATI DEL MONDO INDOOR(D)</t>
  </si>
  <si>
    <t>ATLETICA LEGGERA CAMPIONATI DEL MONDO INDOOR(D)</t>
  </si>
  <si>
    <t>CAMPIONATI DEL MONDO INDOOR</t>
  </si>
  <si>
    <t>ATLETICA LEGGERA CAMPIONATI DEL MONDO INDOOR</t>
  </si>
  <si>
    <t>CONTINUA</t>
  </si>
  <si>
    <t>ATLETICA LEGGERA CONTINUA</t>
  </si>
  <si>
    <t>CAMPIONATI DEL MONDO (D)</t>
  </si>
  <si>
    <t>ATLETICA LEGGERA CAMPIONATI DEL MONDO (D)</t>
  </si>
  <si>
    <t>Netherlands</t>
  </si>
  <si>
    <t>NOS</t>
  </si>
  <si>
    <t>NPO 3</t>
  </si>
  <si>
    <t>ATLETIEK WK INDOOR</t>
  </si>
  <si>
    <t>NOS SPORT</t>
  </si>
  <si>
    <t>ATLETIEK WK INDOOR NOS SPORT</t>
  </si>
  <si>
    <t>Norway</t>
  </si>
  <si>
    <t>NRK</t>
  </si>
  <si>
    <t>NRK 2</t>
  </si>
  <si>
    <t>VM friidrett innendørs</t>
  </si>
  <si>
    <t>VM friidrett innendørs VM friidrett innendørs</t>
  </si>
  <si>
    <t>NRK 3</t>
  </si>
  <si>
    <t>Poland</t>
  </si>
  <si>
    <t>Telewizja Polska S.A.</t>
  </si>
  <si>
    <t>TVP 2</t>
  </si>
  <si>
    <t>HALOWE MISTRZOSTWA SWIATA W LEKKOATLETYCE /LEKKOATLETYKA/</t>
  </si>
  <si>
    <t>HALOWE MISTRZOSTWA SWIATA W LEKKOATLETYCE /LEKKOATLETYKA/ TORUN</t>
  </si>
  <si>
    <t>TVP Sport</t>
  </si>
  <si>
    <t>HALOWE MISTRZOSTWA SWIATA W LEKKOATLETYCE /MAG.SPORT.POL./</t>
  </si>
  <si>
    <t>HALOWE MISTRZOSTWA SWIATA W LEKKOATLETYCE /STUDIO SPORT/</t>
  </si>
  <si>
    <t>Portugal</t>
  </si>
  <si>
    <t>RTP</t>
  </si>
  <si>
    <t>RTP 2</t>
  </si>
  <si>
    <t>ATLETISMO - CAMPEONATO DO MUNDO PISTA COBERTA</t>
  </si>
  <si>
    <t>Serbia</t>
  </si>
  <si>
    <t>RTS</t>
  </si>
  <si>
    <t>RTS 2</t>
  </si>
  <si>
    <t>ATLETIKA - SVETSKO DVORANSKO PRVENSTVO KUJAWY POMORZE 2026</t>
  </si>
  <si>
    <t>ATHLETICS - WORLD ATHLETICS INDOOR CHAMPIONSHIPS KUJAWY POMORZE 2026</t>
  </si>
  <si>
    <t>ATLETIKA - SVETSKO DVORANSKO PRVENSTVO KUJAWY POMORZE 2026 ATHLETICS - WORLD ATHLETICS INDOOR CHAMPIONSHIPS KUJAWY POMORZE 2026</t>
  </si>
  <si>
    <t>ATLETIKA - SVETSKO DVORANSKO PRVENSTVO KUJAWY POMORZE 2026 (R)</t>
  </si>
  <si>
    <t>ATLETIKA - SVETSKO DVORANSKO PRVENSTVO KUJAWY POMORZE 2026 (R) ATHLETICS - WORLD ATHLETICS INDOOR CHAMPIONSHIPS KUJAWY POMORZE 2026</t>
  </si>
  <si>
    <t>ATLETIKA - SVETSKO DVORANSKO PRVENSTVO KUJAWY POMORZE 2026 (SNIMAK)</t>
  </si>
  <si>
    <t>ATLETIKA - SVETSKO DVORANSKO PRVENSTVO KUJAWY POMORZE 2026 (SNIMAK) ATHLETICS - WORLD ATHLETICS INDOOR CHAMPIONSHIPS KUJAWY POMORZE 2026</t>
  </si>
  <si>
    <t>RTS 1</t>
  </si>
  <si>
    <t>WORLD ATHLETICS INDOOR CHAMPIONSHIPS H/L</t>
  </si>
  <si>
    <t>WORLD ATHLETICS INDOOR CHAMPIONSHIPS NANJING - H/L</t>
  </si>
  <si>
    <t>WORLD ATHLETICS INDOOR CHAMPIONSHIPS KUJAWY POMORZE 26</t>
  </si>
  <si>
    <t>WORLD ATHLETICS INDOOR TOUR</t>
  </si>
  <si>
    <t>WORLD ATHLETICS INDOOR CHAMPIONSHIPS BELGRADE - R</t>
  </si>
  <si>
    <t>South Korea</t>
  </si>
  <si>
    <t>KT Skylife</t>
  </si>
  <si>
    <t>ENA SPORTS</t>
  </si>
  <si>
    <t>2026 Kuyabi Pomoze World Indoor Athletics Championships&lt;?&gt;</t>
  </si>
  <si>
    <t>2026 Kuyabi Pomoze World Indoor Athletics Championships Highlights</t>
  </si>
  <si>
    <t>2026 Kuyabi Pomoze World Indoor Athletics Championships</t>
  </si>
  <si>
    <t>Sweden</t>
  </si>
  <si>
    <t>SVT</t>
  </si>
  <si>
    <t>SVT 2</t>
  </si>
  <si>
    <t>FRIIDROTT INOMHUS VM</t>
  </si>
  <si>
    <t>Switzerland</t>
  </si>
  <si>
    <t>SRG SSR</t>
  </si>
  <si>
    <t>RSI LA 2</t>
  </si>
  <si>
    <t>ATLETICA LEGGERA: DONNE E UOMINI: CAMPIONATI MONDIALI INDOOR, TORUN</t>
  </si>
  <si>
    <t>INTRO (FP)</t>
  </si>
  <si>
    <t>ATLETICA LEGGERA: DONNE E UOMINI: CAMPIONATI MONDIALI INDOOR, TORUN INTRO (FP)</t>
  </si>
  <si>
    <t>EXTRO (FP)</t>
  </si>
  <si>
    <t>ATLETICA LEGGERA: DONNE E UOMINI: CAMPIONATI MONDIALI INDOOR, TORUN EXTRO (FP)</t>
  </si>
  <si>
    <t>REPLICA</t>
  </si>
  <si>
    <t>ATLETICA LEGGERA: DONNE E UOMINI: CAMPIONATI MONDIALI INDOOR, TORUN REPLICA</t>
  </si>
  <si>
    <t>CONTINUAZIONE</t>
  </si>
  <si>
    <t>ATLETICA LEGGERA: DONNE E UOMINI: CAMPIONATI MONDIALI INDOOR, TORUN CONTINUAZIONE</t>
  </si>
  <si>
    <t>SRF 2</t>
  </si>
  <si>
    <t>Leichtathletik: Frauen und Männer: Hallen-WM, Torun</t>
  </si>
  <si>
    <t>Intro (EP)</t>
  </si>
  <si>
    <t>Leichtathletik: Frauen und Männer: Hallen-WM, Torun Intro (EP)</t>
  </si>
  <si>
    <t>Intro (FP)</t>
  </si>
  <si>
    <t>Leichtathletik: Frauen und Männer: Hallen-WM, Torun Intro (FP)</t>
  </si>
  <si>
    <t>Extro (FP)</t>
  </si>
  <si>
    <t>Leichtathletik: Frauen und Männer: Hallen-WM, Torun Extro (FP)</t>
  </si>
  <si>
    <t>Extro (EP)</t>
  </si>
  <si>
    <t>Leichtathletik: Frauen und Männer: Hallen-WM, Torun Extro (EP)</t>
  </si>
  <si>
    <t>Turkey</t>
  </si>
  <si>
    <t>TRT Turkey</t>
  </si>
  <si>
    <t>TRT Spor Yildiz</t>
  </si>
  <si>
    <t>DUNYA SALON ATLETIZM SAMPIYONASI</t>
  </si>
  <si>
    <t>DUNYA ATLETIZM SAMPIYONASI (TKR)</t>
  </si>
  <si>
    <t>DUNYA SALON ATLETIZM SAMPIYONASI (TKR)</t>
  </si>
  <si>
    <t>United Kingdom</t>
  </si>
  <si>
    <t>BBC</t>
  </si>
  <si>
    <t>ATHLETICS: WORLD INDOOR CHAMPIONSHIPS</t>
  </si>
  <si>
    <t>BBC2 Scotland</t>
  </si>
  <si>
    <t>BBC2 Wales</t>
  </si>
  <si>
    <t>North America</t>
  </si>
  <si>
    <t>Canada</t>
  </si>
  <si>
    <t>CBC Television</t>
  </si>
  <si>
    <t>CBC Sports (www)</t>
  </si>
  <si>
    <t>World Athletics Indoor Championships: Day 1 - Morning Session</t>
  </si>
  <si>
    <t>Fri Mar 20</t>
  </si>
  <si>
    <t>World Athletics Indoor Championships: Day 1 - Morning Session Fri Mar 20</t>
  </si>
  <si>
    <t>BSA</t>
  </si>
  <si>
    <t>World Athletics Indoor Championships: Day 1 - Evening Session</t>
  </si>
  <si>
    <t>World Athletics Indoor Championships: Day 1 - Evening Session Fri Mar 20</t>
  </si>
  <si>
    <t>World Athletics Indoor Championships: Day 2 - Morning Session</t>
  </si>
  <si>
    <t>Sat Mar 21</t>
  </si>
  <si>
    <t>World Athletics Indoor Championships: Day 2 - Morning Session Sat Mar 21</t>
  </si>
  <si>
    <t>World Athletics Indoor Championships: Day 2 - Evening Session</t>
  </si>
  <si>
    <t>World Athletics Indoor Championships: Day 2 - Evening Session Sat Mar 21</t>
  </si>
  <si>
    <t>World Athletics Indoor Championships: Day 3 - Morning Session</t>
  </si>
  <si>
    <t>Sun Mar 22</t>
  </si>
  <si>
    <t>World Athletics Indoor Championships: Day 3 - Morning Session Sun Mar 22</t>
  </si>
  <si>
    <t>World Athletics Indoor Championships: Day 3 - Evening Session</t>
  </si>
  <si>
    <t>World Athletics Indoor Championships: Day 3 - Evening Session Sun Mar 22</t>
  </si>
  <si>
    <t>China</t>
  </si>
  <si>
    <t>CCTV</t>
  </si>
  <si>
    <t>CCTV5</t>
  </si>
  <si>
    <t>实况录像-2026年世界室内田径锦标赛  1</t>
  </si>
  <si>
    <t>Live recording of the 2026 World Indoor Athletics Championships 1.</t>
  </si>
  <si>
    <t>实况录像-2026年世界室内田径锦标赛  1 Live recording of the 2026 World Indoor Athletics Championships 1.</t>
  </si>
  <si>
    <t>Estonia</t>
  </si>
  <si>
    <t>ERR Estonia</t>
  </si>
  <si>
    <t>ETV Estonia</t>
  </si>
  <si>
    <t>Sisekergejõustiku MM Torunis</t>
  </si>
  <si>
    <t>Talvine kergejõustikuhooaeg kulmineerub kolmandat aastat järjest maailmameistrivõistlustega. Eesti koondise suurimad edulootused on taas seotud seitsmevõistlusega. Kahel eelmisel sise-MM-il võitis medali Johannes Erm.</t>
  </si>
  <si>
    <t>Sisekergejõustiku MM Torunis Talvine kergejõustikuhooaeg kulmineerub kolmandat aastat järjest maailmameistrivõistlustega. Eesti koondise suurimad edulootused on taas seotud seitsmevõistlusega. Kahel eelmisel sise-MM-il võitis medali Johannes Erm.</t>
  </si>
  <si>
    <t>ETV 2</t>
  </si>
  <si>
    <t>Liigu pleierisse Esmaspäev 23. märts 2026</t>
  </si>
  <si>
    <t>Sisekergejõustiku MM Torunis Liigu pleierisse Esmaspäev 23. märts 2026</t>
  </si>
  <si>
    <t>Iceland</t>
  </si>
  <si>
    <t>RUV Iceland</t>
  </si>
  <si>
    <t>RUV</t>
  </si>
  <si>
    <t>World Indoor Athletics Championships</t>
  </si>
  <si>
    <t>Israel</t>
  </si>
  <si>
    <t>The Sports Channel</t>
  </si>
  <si>
    <t>Sport 5</t>
  </si>
  <si>
    <t>אליפות העולם באתלטיקה באולם</t>
  </si>
  <si>
    <t>Sport 5 Plus</t>
  </si>
  <si>
    <t>Sport 5 Stars</t>
  </si>
  <si>
    <t>Sport 5 Mobile</t>
  </si>
  <si>
    <t>Lithuania</t>
  </si>
  <si>
    <t>LRT</t>
  </si>
  <si>
    <t>LRT Plius</t>
  </si>
  <si>
    <t>Pasaulio uždarų patalpų lengvosios atletikos čempionatas</t>
  </si>
  <si>
    <t>Dalyvauja G. Galvydytė. Tiesioginė transliacija iš Torunės.</t>
  </si>
  <si>
    <t>Pasaulio uždarų patalpų lengvosios atletikos čempionatas Dalyvauja G. Galvydytė. Tiesioginė transliacija iš Torunės.</t>
  </si>
  <si>
    <t>Tiesioginė transliacija iš Torunės.</t>
  </si>
  <si>
    <t>Pasaulio uždarų patalpų lengvosios atletikos čempionatas Tiesioginė transliacija iš Torunės.</t>
  </si>
  <si>
    <t>Dalyvauja B. Juškevičiūtė, gali dalyvauti G. Galvydytė. Tiesioginė transliacija iš Torunės.</t>
  </si>
  <si>
    <t>Pasaulio uždarų patalpų lengvosios atletikos čempionatas Dalyvauja B. Juškevičiūtė, gali dalyvauti G. Galvydytė. Tiesioginė transliacija iš Torunės.</t>
  </si>
  <si>
    <t>Pan-Africa</t>
  </si>
  <si>
    <t>Sporty Group</t>
  </si>
  <si>
    <t>Sporty TV</t>
  </si>
  <si>
    <t>World Athletics Indoor Championship 2026</t>
  </si>
  <si>
    <t>Pan-Latin America</t>
  </si>
  <si>
    <t>TyC Sports International</t>
  </si>
  <si>
    <t>Día 1 y 2</t>
  </si>
  <si>
    <t>Vive lo más emocionante del Campeonato Mundial de Atletismo en Pista Cubierta de 2026. Cerca de 700 atletas que representan a 118 países competirán en las 27 pruebas previstas en la Kujawsko-Pomorska Arena de Torun.</t>
  </si>
  <si>
    <t>Día 1 y 2 Vive lo más emocionante del Campeonato Mundial de Atletismo en Pista Cubierta de 2026. Cerca de 700 atletas que representan a 118 países competirán en las 27 pruebas previstas en la Kujawsko-Pomorska Arena de Torun.</t>
  </si>
  <si>
    <t>Día 2 y 3</t>
  </si>
  <si>
    <t>Día 2 y 3 Vive lo más emocionante del Campeonato Mundial de Atletismo en Pista Cubierta de 2026. Cerca de 700 atletas que representan a 118 países competirán en las 27 pruebas previstas en la Kujawsko-Pomorska Arena de Torun.</t>
  </si>
  <si>
    <t>Día 3</t>
  </si>
  <si>
    <t>Día 3 Vive lo más emocionante del Campeonato Mundial de Atletismo en Pista Cubierta de 2026. Cerca de 700 atletas que representan a 118 países competirán en las 27 pruebas previstas en la Kujawsko-Pomorska Arena de Torun.</t>
  </si>
  <si>
    <t>Pan-MENA</t>
  </si>
  <si>
    <t>beIN Media Group</t>
  </si>
  <si>
    <t>Morning Session - World Athletics Indoor Champions 2026</t>
  </si>
  <si>
    <t>Athletics</t>
  </si>
  <si>
    <t>Morning Session - World Athletics Indoor Champions 2026 Athletics</t>
  </si>
  <si>
    <t>Opening Ceremony - World Athletics Indoor Champions 2026</t>
  </si>
  <si>
    <t>Opening Ceremony - World Athletics Indoor Champions 2026 Athletics</t>
  </si>
  <si>
    <t>Evening Session - World Athletics Indoor Champions 2026</t>
  </si>
  <si>
    <t>Evening Session - World Athletics Indoor Champions 2026 Athletics</t>
  </si>
  <si>
    <t>Morning Session  -  World Athletics Indoor Champions 2026</t>
  </si>
  <si>
    <t>Morning Session  -  World Athletics Indoor Champions 2026 Athletics</t>
  </si>
  <si>
    <t>Opening Ceremony  -  World Athletics Indoor Champions 2026</t>
  </si>
  <si>
    <t>Opening Ceremony  -  World Athletics Indoor Champions 2026 Athletics</t>
  </si>
  <si>
    <t>Evening Session  -  World Athletics Indoor Champions 2026</t>
  </si>
  <si>
    <t>Evening Session  -  World Athletics Indoor Champions 2026 Athletics</t>
  </si>
  <si>
    <t>Slovakia</t>
  </si>
  <si>
    <t>Slovak TV</t>
  </si>
  <si>
    <t>RTVS Sport</t>
  </si>
  <si>
    <t>Atletika - Halové MS 2026</t>
  </si>
  <si>
    <t>Athletics - Indoor World Championships 2026</t>
  </si>
  <si>
    <t>Skryté titulky HD Európska tvorba Halové MS 2026 (Toruň): 3. deň</t>
  </si>
  <si>
    <t>Atletika - Halové MS 2026 Skryté titulky HD Európska tvorba Halové MS 2026 (Toruň): 3. deň</t>
  </si>
  <si>
    <t>Skryté titulky HD Európska tvorba Halové MS 2026 (Toruň): 1. deň</t>
  </si>
  <si>
    <t>Atletika - Halové MS 2026 Skryté titulky HD Európska tvorba Halové MS 2026 (Toruň): 1. deň</t>
  </si>
  <si>
    <t>Skryté titulky HD Európska tvorba Halové MS 2026 (Toruň): 2. deň</t>
  </si>
  <si>
    <t>Atletika - Halové MS 2026 Skryté titulky HD Európska tvorba Halové MS 2026 (Toruň): 2. deň</t>
  </si>
  <si>
    <t>ORF Sport Plus (AUT)</t>
  </si>
  <si>
    <t>beIN Sports 8 (MENA)</t>
  </si>
  <si>
    <t>SuperSport Grandstand (ZAF)</t>
  </si>
  <si>
    <t>SuperSport Variety 2 (ZAF)</t>
  </si>
  <si>
    <t>SuperSport Variety 3 (ZAF)</t>
  </si>
  <si>
    <t>SuperSport Variety 4 (ZAF)</t>
  </si>
  <si>
    <t>BBC 2 (GBR)</t>
  </si>
  <si>
    <t>Duplicated from AURA - Austria / Factor 0.5</t>
  </si>
  <si>
    <t>SuperSport Grandstand (AFR)</t>
  </si>
  <si>
    <t>Duplicated from AURA - South Africa / Factor 0.81</t>
  </si>
  <si>
    <t>SuperSport Variety 2 (AFR)</t>
  </si>
  <si>
    <t>SuperSport Variety 3 (AFR)</t>
  </si>
  <si>
    <t>SuperSport Variety 4 (AFR)</t>
  </si>
  <si>
    <t>Project: World Athletics - Kujawy Pomorze World Indoor Champio... - 2026 (#11710)</t>
  </si>
  <si>
    <t>Season / Year:2026</t>
  </si>
  <si>
    <t>Monitoring Period: 18-Mar-2026--24-Mar-2026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</si>
</sst>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d"/>
    <numFmt numFmtId="165" formatCode="dd\-mm\-yyyy"/>
  </numFmts>
  <fonts count="10" x14ac:knownFonts="1">
    <font>
      <sz val="11"/>
      <color theme="1"/>
      <name val="Calibri"/>
      <scheme val="minor"/>
    </font>
    <font>
      <sz val="8"/>
      <color theme="1"/>
      <name val="Calibri"/>
      <family val="2"/>
    </font>
    <font>
      <b/>
      <sz val="8"/>
      <color theme="1"/>
      <name val="Arial"/>
      <family val="2"/>
    </font>
    <font>
      <b/>
      <sz val="8"/>
      <color rgb="FF717276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rgb="FF009DD9"/>
        <bgColor rgb="FF009DD9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center"/>
    </xf>
    <xf numFmtId="21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64" fontId="4" fillId="3" borderId="2" xfId="0" applyNumberFormat="1" applyFont="1" applyFill="1" applyBorder="1" applyAlignment="1">
      <alignment horizontal="center" vertical="center"/>
    </xf>
    <xf numFmtId="21" fontId="4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" fontId="2" fillId="4" borderId="2" xfId="0" applyNumberFormat="1" applyFont="1" applyFill="1" applyBorder="1" applyAlignment="1">
      <alignment horizontal="center" vertical="center"/>
    </xf>
    <xf numFmtId="4" fontId="4" fillId="5" borderId="2" xfId="0" applyNumberFormat="1" applyFont="1" applyFill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/>
    <xf numFmtId="0" fontId="7" fillId="3" borderId="1" xfId="0" applyFont="1" applyFill="1" applyBorder="1"/>
    <xf numFmtId="14" fontId="7" fillId="3" borderId="2" xfId="0" applyNumberFormat="1" applyFont="1" applyFill="1" applyBorder="1" applyAlignment="1">
      <alignment horizontal="center" vertical="center"/>
    </xf>
    <xf numFmtId="0" fontId="6" fillId="3" borderId="1" xfId="0" applyFont="1" applyFill="1" applyBorder="1"/>
    <xf numFmtId="0" fontId="6" fillId="5" borderId="2" xfId="0" applyFont="1" applyFill="1" applyBorder="1" applyAlignment="1">
      <alignment horizontal="center" vertical="center"/>
    </xf>
    <xf numFmtId="21" fontId="6" fillId="0" borderId="2" xfId="0" applyNumberFormat="1" applyFont="1" applyBorder="1" applyAlignment="1">
      <alignment horizontal="center" vertical="center"/>
    </xf>
    <xf numFmtId="21" fontId="6" fillId="0" borderId="2" xfId="0" applyNumberFormat="1" applyFont="1" applyBorder="1" applyAlignment="1">
      <alignment horizontal="center"/>
    </xf>
    <xf numFmtId="14" fontId="6" fillId="3" borderId="2" xfId="0" applyNumberFormat="1" applyFont="1" applyFill="1" applyBorder="1" applyAlignment="1">
      <alignment horizontal="center"/>
    </xf>
    <xf numFmtId="22" fontId="6" fillId="0" borderId="2" xfId="0" applyNumberFormat="1" applyFont="1" applyBorder="1" applyAlignment="1">
      <alignment horizontal="center"/>
    </xf>
    <xf numFmtId="0" fontId="8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165" fontId="4" fillId="9" borderId="2" xfId="0" applyNumberFormat="1" applyFont="1" applyFill="1" applyBorder="1" applyAlignment="1">
      <alignment horizontal="center" vertical="center"/>
    </xf>
    <xf numFmtId="14" fontId="4" fillId="8" borderId="2" xfId="0" applyNumberFormat="1" applyFont="1" applyFill="1" applyBorder="1" applyAlignment="1">
      <alignment horizontal="center" vertical="center"/>
    </xf>
    <xf numFmtId="14" fontId="4" fillId="9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21" fontId="4" fillId="8" borderId="2" xfId="0" applyNumberFormat="1" applyFont="1" applyFill="1" applyBorder="1" applyAlignment="1">
      <alignment horizontal="center" vertical="center"/>
    </xf>
    <xf numFmtId="21" fontId="4" fillId="9" borderId="2" xfId="0" applyNumberFormat="1" applyFont="1" applyFill="1" applyBorder="1" applyAlignment="1">
      <alignment horizontal="center" vertical="center"/>
    </xf>
    <xf numFmtId="21" fontId="4" fillId="7" borderId="2" xfId="0" applyNumberFormat="1" applyFont="1" applyFill="1" applyBorder="1" applyAlignment="1">
      <alignment horizontal="center" vertical="center"/>
    </xf>
    <xf numFmtId="4" fontId="4" fillId="8" borderId="2" xfId="0" applyNumberFormat="1" applyFont="1" applyFill="1" applyBorder="1" applyAlignment="1">
      <alignment horizontal="center" vertical="center"/>
    </xf>
    <xf numFmtId="4" fontId="2" fillId="8" borderId="2" xfId="0" applyNumberFormat="1" applyFont="1" applyFill="1" applyBorder="1" applyAlignment="1">
      <alignment horizontal="center" vertical="center"/>
    </xf>
    <xf numFmtId="4" fontId="4" fillId="10" borderId="2" xfId="0" applyNumberFormat="1" applyFont="1" applyFill="1" applyBorder="1" applyAlignment="1">
      <alignment horizontal="center" vertical="center"/>
    </xf>
    <xf numFmtId="4" fontId="4" fillId="11" borderId="2" xfId="0" applyNumberFormat="1" applyFont="1" applyFill="1" applyBorder="1" applyAlignment="1">
      <alignment horizontal="center" vertical="center"/>
    </xf>
    <xf numFmtId="2" fontId="4" fillId="12" borderId="2" xfId="0" applyNumberFormat="1" applyFont="1" applyFill="1" applyBorder="1" applyAlignment="1">
      <alignment horizontal="center" vertical="center"/>
    </xf>
    <xf numFmtId="2" fontId="4" fillId="13" borderId="2" xfId="0" applyNumberFormat="1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333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elix.f\AppData\Local\Temp\Project%20Specs%20France%20Belgium_2016%20Tour%20of%20Om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RIST~1.K\AppData\Local\Temp\Project%20Specs%20Template_301215.xlsm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.repucom.net/IMC/ME%20Operations/BRR%20-%20BSA%20Rates%20Ratings/2014/Projekte%20und%20Produkte/Football/FFP%20Russia/Dynamo%20Moscow%202013/Rates/Rates%20Dynamo%20Moscow%202013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essMonitoring\RSMG%20GENERAL\Optimierung%20Arbeitsprozesse\Kostenkalkulation\Template%20Kostenkalkulation%20Print_Online_05.11.1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dejongh\AppData\Local\Temp\Rate_Model-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RDATA"/>
      <sheetName val="Info"/>
      <sheetName val="MD Report MM+EA Panel"/>
      <sheetName val="Standard Tool+Locations"/>
      <sheetName val="TV Project Specification"/>
      <sheetName val="Master Data"/>
      <sheetName val="Data"/>
      <sheetName val="Delivery Schedule"/>
      <sheetName val="TV Panel"/>
      <sheetName val="BSA Football Standard Panel"/>
      <sheetName val="ASO TV Schedule"/>
      <sheetName val="TV Channel List"/>
      <sheetName val="Standard Program Panel"/>
      <sheetName val="BSR Channel List"/>
      <sheetName val="BSR Panel"/>
      <sheetName val="Audiences"/>
      <sheetName val="Rec_Normalisation_Requirements"/>
      <sheetName val="Cost Calculation (TV) "/>
      <sheetName val="PrintOnline"/>
      <sheetName val="Panel PrintOnline"/>
      <sheetName val="Cost Calculation PRINT"/>
      <sheetName val="Cost Calculation ONLINE"/>
      <sheetName val="Information_PRINT"/>
      <sheetName val="Information_ONLINE"/>
      <sheetName val="Datatocopy"/>
      <sheetName val="KA Quality Tracking"/>
      <sheetName val="Cost Calculation CA TV"/>
      <sheetName val="Scratch"/>
      <sheetName val="Tabelle1"/>
      <sheetName val="Project Specs France Belgium_20"/>
      <sheetName val="Data &amp;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">
          <cell r="J3" t="str">
            <v>Top-10</v>
          </cell>
          <cell r="L3" t="str">
            <v>MM</v>
          </cell>
          <cell r="M3" t="str">
            <v>Costs DPU Output Print/Online (Excel)</v>
          </cell>
          <cell r="P3" t="str">
            <v>A</v>
          </cell>
        </row>
        <row r="4">
          <cell r="I4" t="str">
            <v>Ausschnitt</v>
          </cell>
          <cell r="J4" t="str">
            <v>Full</v>
          </cell>
          <cell r="L4" t="str">
            <v>EA</v>
          </cell>
          <cell r="M4" t="str">
            <v>Costs DPU Output Print/Online (PPT)</v>
          </cell>
          <cell r="P4" t="str">
            <v>B</v>
          </cell>
        </row>
        <row r="5">
          <cell r="I5" t="str">
            <v>Auxipress</v>
          </cell>
          <cell r="J5" t="str">
            <v>Top-Panel</v>
          </cell>
          <cell r="L5" t="str">
            <v>MM+EA</v>
          </cell>
          <cell r="P5" t="str">
            <v>C</v>
          </cell>
        </row>
        <row r="6">
          <cell r="I6" t="str">
            <v>Durrants</v>
          </cell>
          <cell r="J6" t="str">
            <v>Customized</v>
          </cell>
          <cell r="L6" t="str">
            <v>Tonality</v>
          </cell>
          <cell r="P6" t="str">
            <v>D</v>
          </cell>
        </row>
        <row r="7">
          <cell r="I7" t="str">
            <v>Press-Service</v>
          </cell>
        </row>
        <row r="8">
          <cell r="I8" t="str">
            <v>Observer</v>
          </cell>
        </row>
        <row r="9">
          <cell r="I9" t="str">
            <v>In-House</v>
          </cell>
        </row>
      </sheetData>
      <sheetData sheetId="23">
        <row r="3">
          <cell r="B3" t="str">
            <v>Pressrelations</v>
          </cell>
          <cell r="C3" t="str">
            <v>Top-10</v>
          </cell>
        </row>
        <row r="4">
          <cell r="B4" t="str">
            <v>Stylemining</v>
          </cell>
          <cell r="C4" t="str">
            <v>Full</v>
          </cell>
        </row>
        <row r="5">
          <cell r="C5" t="str">
            <v>Top-Panel</v>
          </cell>
        </row>
        <row r="6">
          <cell r="C6" t="str">
            <v>Customized</v>
          </cell>
        </row>
      </sheetData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RDATA"/>
      <sheetName val="Info"/>
      <sheetName val="MD Report MM+EA Panel"/>
      <sheetName val="Standard Tool+Locations"/>
      <sheetName val="TV Project Specification"/>
      <sheetName val="Data"/>
      <sheetName val="Master Data"/>
      <sheetName val="Delivery Schedule"/>
      <sheetName val="TV Panel"/>
      <sheetName val="BSA Football Standard Panel"/>
      <sheetName val="Standard Program Panel"/>
      <sheetName val="TV Channel List"/>
      <sheetName val="BSR Channel List"/>
      <sheetName val="Purchase"/>
      <sheetName val="Rec_Normalisation_Requirements"/>
      <sheetName val="Cost Calculation"/>
      <sheetName val="PrintOnline"/>
      <sheetName val="Panel PrintOnline"/>
      <sheetName val="Cost Calculation PRINT"/>
      <sheetName val="Cost Calculation ONLINE"/>
      <sheetName val="Information_PRINT"/>
      <sheetName val="Information_ONLINE"/>
      <sheetName val="Datatocopy"/>
      <sheetName val="KA Quality Tracking"/>
      <sheetName val="Cost Calc CA Glob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3">
          <cell r="C3" t="str">
            <v>Ausschnitt</v>
          </cell>
          <cell r="I3" t="str">
            <v>Argus</v>
          </cell>
        </row>
        <row r="4">
          <cell r="C4" t="str">
            <v>Ausschnitt</v>
          </cell>
          <cell r="I4" t="str">
            <v>Ausschnitt</v>
          </cell>
        </row>
        <row r="5">
          <cell r="C5" t="str">
            <v>Ausschnitt</v>
          </cell>
          <cell r="I5" t="str">
            <v>Auxipress</v>
          </cell>
        </row>
        <row r="6">
          <cell r="C6" t="str">
            <v>Ausschnitt</v>
          </cell>
          <cell r="I6" t="str">
            <v>Durrants</v>
          </cell>
        </row>
        <row r="7">
          <cell r="C7" t="str">
            <v>Durrants</v>
          </cell>
          <cell r="I7" t="str">
            <v>Press-Service</v>
          </cell>
        </row>
        <row r="8">
          <cell r="C8" t="str">
            <v>Press-Service</v>
          </cell>
          <cell r="I8" t="str">
            <v>Observer</v>
          </cell>
        </row>
        <row r="9">
          <cell r="C9" t="str">
            <v>Ausschnitt</v>
          </cell>
          <cell r="I9" t="str">
            <v>In-House</v>
          </cell>
        </row>
        <row r="10">
          <cell r="C10" t="str">
            <v>Durrants</v>
          </cell>
        </row>
        <row r="11">
          <cell r="C11" t="str">
            <v>Ausschnitt</v>
          </cell>
        </row>
        <row r="12">
          <cell r="C12" t="str">
            <v>Durrants</v>
          </cell>
        </row>
        <row r="13">
          <cell r="C13" t="str">
            <v>Observer</v>
          </cell>
        </row>
        <row r="14">
          <cell r="C14" t="str">
            <v>Ausschnitt</v>
          </cell>
        </row>
        <row r="15">
          <cell r="C15" t="str">
            <v>Ausschnitt</v>
          </cell>
        </row>
        <row r="16">
          <cell r="C16" t="str">
            <v>Ausschnitt</v>
          </cell>
        </row>
        <row r="17">
          <cell r="C17" t="str">
            <v>Press-Service</v>
          </cell>
        </row>
        <row r="18">
          <cell r="C18" t="str">
            <v>Ausschnitt</v>
          </cell>
        </row>
        <row r="19">
          <cell r="C19" t="str">
            <v>Durrants</v>
          </cell>
        </row>
        <row r="20">
          <cell r="C20" t="str">
            <v>Ausschnitt</v>
          </cell>
        </row>
        <row r="21">
          <cell r="C21" t="str">
            <v>Ausschnitt</v>
          </cell>
        </row>
        <row r="22">
          <cell r="C22" t="str">
            <v>Press-Service</v>
          </cell>
        </row>
        <row r="23">
          <cell r="C23" t="str">
            <v>Ausschnitt</v>
          </cell>
        </row>
        <row r="24">
          <cell r="C24" t="str">
            <v>Durrants</v>
          </cell>
        </row>
        <row r="25">
          <cell r="C25" t="str">
            <v>Ausschnitt</v>
          </cell>
        </row>
        <row r="26">
          <cell r="C26" t="str">
            <v>Press-Service</v>
          </cell>
        </row>
        <row r="27">
          <cell r="C27" t="str">
            <v>Ausschnitt</v>
          </cell>
        </row>
        <row r="28">
          <cell r="C28" t="str">
            <v>Durrants</v>
          </cell>
        </row>
        <row r="29">
          <cell r="C29" t="str">
            <v>Ausschnitt</v>
          </cell>
        </row>
        <row r="30">
          <cell r="C30" t="str">
            <v>Ausschnitt</v>
          </cell>
        </row>
        <row r="31">
          <cell r="C31" t="str">
            <v>Durrants</v>
          </cell>
        </row>
        <row r="32">
          <cell r="C32" t="str">
            <v>Ausschnitt</v>
          </cell>
        </row>
        <row r="33">
          <cell r="C33" t="str">
            <v>Ausschnitt</v>
          </cell>
        </row>
        <row r="34">
          <cell r="C34" t="str">
            <v>Ausschnitt</v>
          </cell>
        </row>
        <row r="35">
          <cell r="C35" t="str">
            <v>Press-Service</v>
          </cell>
        </row>
        <row r="36">
          <cell r="C36" t="str">
            <v>Ausschnitt</v>
          </cell>
        </row>
        <row r="37">
          <cell r="C37" t="str">
            <v>Ausschnitt</v>
          </cell>
        </row>
        <row r="38">
          <cell r="C38" t="str">
            <v>Durrants</v>
          </cell>
        </row>
        <row r="39">
          <cell r="C39" t="str">
            <v>Press-Service</v>
          </cell>
        </row>
        <row r="40">
          <cell r="C40" t="str">
            <v>Ausschnitt</v>
          </cell>
        </row>
        <row r="41">
          <cell r="C41" t="str">
            <v>Durrants</v>
          </cell>
        </row>
        <row r="42">
          <cell r="C42" t="str">
            <v>Ausschnitt</v>
          </cell>
        </row>
        <row r="43">
          <cell r="C43" t="str">
            <v>Ausschnitt</v>
          </cell>
        </row>
        <row r="44">
          <cell r="C44" t="str">
            <v>Ausschnitt</v>
          </cell>
        </row>
        <row r="45">
          <cell r="C45" t="str">
            <v>Ausschnitt</v>
          </cell>
        </row>
        <row r="46">
          <cell r="C46" t="str">
            <v>Ausschnitt</v>
          </cell>
        </row>
        <row r="47">
          <cell r="C47" t="str">
            <v>Press-Service</v>
          </cell>
        </row>
        <row r="48">
          <cell r="C48" t="str">
            <v>Ausschnitt</v>
          </cell>
        </row>
        <row r="49">
          <cell r="C49" t="str">
            <v>Durrants</v>
          </cell>
        </row>
        <row r="50">
          <cell r="C50" t="str">
            <v>Ausschnitt</v>
          </cell>
        </row>
        <row r="51">
          <cell r="C51" t="str">
            <v>Durrants</v>
          </cell>
        </row>
        <row r="52">
          <cell r="C52" t="str">
            <v>Ausschnitt</v>
          </cell>
        </row>
        <row r="53">
          <cell r="C53" t="str">
            <v>Durrants</v>
          </cell>
        </row>
        <row r="54">
          <cell r="C54" t="str">
            <v>Ausschnitt</v>
          </cell>
        </row>
        <row r="55">
          <cell r="C55" t="str">
            <v>Ausschnitt</v>
          </cell>
        </row>
        <row r="56">
          <cell r="C56" t="str">
            <v>Ausschnitt</v>
          </cell>
        </row>
        <row r="57">
          <cell r="C57" t="str">
            <v>Press-Service</v>
          </cell>
        </row>
        <row r="58">
          <cell r="C58" t="str">
            <v>Ausschnitt</v>
          </cell>
        </row>
        <row r="59">
          <cell r="C59" t="str">
            <v>Durrants</v>
          </cell>
        </row>
        <row r="60">
          <cell r="C60" t="str">
            <v>Ausschnitt</v>
          </cell>
        </row>
        <row r="61">
          <cell r="C61" t="str">
            <v>Ausschnitt</v>
          </cell>
        </row>
        <row r="62">
          <cell r="C62" t="str">
            <v>Ausschnitt</v>
          </cell>
        </row>
        <row r="63">
          <cell r="C63" t="str">
            <v>Ausschnitt</v>
          </cell>
        </row>
        <row r="64">
          <cell r="C64" t="str">
            <v>Durrants</v>
          </cell>
        </row>
        <row r="65">
          <cell r="C65" t="str">
            <v>Ausschnitt</v>
          </cell>
        </row>
        <row r="66">
          <cell r="C66" t="str">
            <v>Ausschnitt</v>
          </cell>
        </row>
        <row r="67">
          <cell r="C67" t="str">
            <v>Durrants</v>
          </cell>
        </row>
        <row r="68">
          <cell r="C68" t="str">
            <v>Ausschnitt</v>
          </cell>
        </row>
        <row r="69">
          <cell r="C69" t="str">
            <v>Durrants</v>
          </cell>
        </row>
        <row r="70">
          <cell r="C70" t="str">
            <v>Ausschnitt</v>
          </cell>
        </row>
        <row r="71">
          <cell r="C71" t="str">
            <v>Press-Service</v>
          </cell>
        </row>
        <row r="72">
          <cell r="C72" t="str">
            <v>Ausschnitt</v>
          </cell>
        </row>
        <row r="73">
          <cell r="C73" t="str">
            <v>Ausschnitt</v>
          </cell>
        </row>
        <row r="74">
          <cell r="C74" t="str">
            <v>Press-Service</v>
          </cell>
        </row>
        <row r="75">
          <cell r="C75" t="str">
            <v>Ausschnitt</v>
          </cell>
        </row>
        <row r="76">
          <cell r="C76" t="str">
            <v>Press-Service</v>
          </cell>
        </row>
        <row r="77">
          <cell r="C77" t="str">
            <v>Ausschnitt</v>
          </cell>
        </row>
        <row r="78">
          <cell r="C78" t="str">
            <v>Ausschnitt</v>
          </cell>
        </row>
        <row r="79">
          <cell r="C79" t="str">
            <v>Ausschnitt</v>
          </cell>
        </row>
        <row r="80">
          <cell r="C80" t="str">
            <v>Press-Service</v>
          </cell>
        </row>
        <row r="81">
          <cell r="C81" t="str">
            <v>Ausschnitt</v>
          </cell>
        </row>
        <row r="82">
          <cell r="C82" t="str">
            <v>Ausschnitt</v>
          </cell>
        </row>
        <row r="83">
          <cell r="C83" t="str">
            <v>Ausschnitt</v>
          </cell>
        </row>
        <row r="84">
          <cell r="C84" t="str">
            <v>Press-Service</v>
          </cell>
        </row>
        <row r="85">
          <cell r="C85" t="str">
            <v>Ausschnitt</v>
          </cell>
        </row>
        <row r="86">
          <cell r="C86" t="str">
            <v>Durrants</v>
          </cell>
        </row>
        <row r="87">
          <cell r="C87" t="str">
            <v>Ausschnitt</v>
          </cell>
        </row>
        <row r="88">
          <cell r="C88" t="str">
            <v>Ausschnitt</v>
          </cell>
        </row>
        <row r="89">
          <cell r="C89" t="str">
            <v>Ausschnitt</v>
          </cell>
        </row>
        <row r="90">
          <cell r="C90" t="str">
            <v>Durrants</v>
          </cell>
        </row>
        <row r="91">
          <cell r="C91" t="str">
            <v>Press-Service</v>
          </cell>
        </row>
        <row r="92">
          <cell r="C92" t="str">
            <v>Ausschnitt</v>
          </cell>
        </row>
        <row r="93">
          <cell r="C93" t="str">
            <v>Ausschnitt</v>
          </cell>
        </row>
        <row r="94">
          <cell r="C94" t="str">
            <v>Press-Service</v>
          </cell>
        </row>
        <row r="95">
          <cell r="C95" t="str">
            <v>Ausschnitt</v>
          </cell>
        </row>
        <row r="96">
          <cell r="C96" t="str">
            <v>Ausschnitt</v>
          </cell>
        </row>
        <row r="97">
          <cell r="C97" t="str">
            <v>Durrants</v>
          </cell>
        </row>
        <row r="98">
          <cell r="C98" t="str">
            <v>Ausschnitt</v>
          </cell>
        </row>
        <row r="99">
          <cell r="C99" t="str">
            <v>Ausschnitt</v>
          </cell>
        </row>
        <row r="100">
          <cell r="C100" t="str">
            <v>Ausschnitt</v>
          </cell>
        </row>
        <row r="101">
          <cell r="C101" t="str">
            <v>Ausschnitt</v>
          </cell>
        </row>
        <row r="102">
          <cell r="C102" t="str">
            <v>Ausschnitt</v>
          </cell>
        </row>
        <row r="103">
          <cell r="C103" t="str">
            <v>Ausschnitt</v>
          </cell>
        </row>
        <row r="104">
          <cell r="C104" t="str">
            <v>Ausschnitt</v>
          </cell>
        </row>
        <row r="105">
          <cell r="C105" t="str">
            <v>Ausschnitt</v>
          </cell>
        </row>
        <row r="106">
          <cell r="C106" t="str">
            <v>Ausschnitt</v>
          </cell>
        </row>
        <row r="107">
          <cell r="C107" t="str">
            <v>Durrants</v>
          </cell>
        </row>
        <row r="108">
          <cell r="C108" t="str">
            <v>Press-Service</v>
          </cell>
        </row>
        <row r="109">
          <cell r="C109" t="str">
            <v>Ausschnitt</v>
          </cell>
        </row>
        <row r="110">
          <cell r="C110" t="str">
            <v>Ausschnitt</v>
          </cell>
        </row>
        <row r="111">
          <cell r="C111" t="str">
            <v>Ausschnitt</v>
          </cell>
        </row>
        <row r="112">
          <cell r="C112" t="str">
            <v>Ausschnitt</v>
          </cell>
        </row>
        <row r="113">
          <cell r="C113" t="str">
            <v>Press-Service</v>
          </cell>
        </row>
        <row r="114">
          <cell r="C114" t="str">
            <v>Ausschnitt</v>
          </cell>
        </row>
        <row r="115">
          <cell r="C115" t="str">
            <v>Durrants</v>
          </cell>
        </row>
        <row r="116">
          <cell r="C116" t="str">
            <v>Press-Service</v>
          </cell>
        </row>
        <row r="117">
          <cell r="C117" t="str">
            <v>Ausschnitt</v>
          </cell>
        </row>
        <row r="118">
          <cell r="C118" t="str">
            <v>Ausschnitt</v>
          </cell>
        </row>
        <row r="119">
          <cell r="C119" t="str">
            <v>Press-Service</v>
          </cell>
        </row>
        <row r="120">
          <cell r="C120" t="str">
            <v>Ausschnitt</v>
          </cell>
        </row>
        <row r="121">
          <cell r="C121" t="str">
            <v>Durrants</v>
          </cell>
        </row>
        <row r="122">
          <cell r="C122" t="str">
            <v>Ausschnitt</v>
          </cell>
        </row>
        <row r="123">
          <cell r="C123" t="str">
            <v>Press-Service</v>
          </cell>
        </row>
        <row r="124">
          <cell r="C124" t="str">
            <v>Ausschnitt</v>
          </cell>
        </row>
        <row r="125">
          <cell r="C125" t="str">
            <v>Press-Service</v>
          </cell>
        </row>
        <row r="126">
          <cell r="C126" t="str">
            <v>Ausschnitt</v>
          </cell>
        </row>
        <row r="127">
          <cell r="C127" t="str">
            <v>Durrants</v>
          </cell>
        </row>
        <row r="128">
          <cell r="C128" t="str">
            <v>Ausschnitt</v>
          </cell>
        </row>
        <row r="129">
          <cell r="C129" t="str">
            <v>Durrants</v>
          </cell>
        </row>
        <row r="130">
          <cell r="C130" t="str">
            <v>Ausschnitt</v>
          </cell>
        </row>
        <row r="131">
          <cell r="C131" t="str">
            <v>Ausschnitt</v>
          </cell>
        </row>
        <row r="132">
          <cell r="C132" t="str">
            <v>Durrants</v>
          </cell>
        </row>
        <row r="133">
          <cell r="C133" t="str">
            <v>Argus</v>
          </cell>
        </row>
        <row r="134">
          <cell r="C134" t="str">
            <v>Ausschnitt</v>
          </cell>
        </row>
        <row r="135">
          <cell r="C135" t="str">
            <v>Durrants</v>
          </cell>
        </row>
        <row r="136">
          <cell r="C136" t="str">
            <v>Ausschnitt</v>
          </cell>
        </row>
        <row r="137">
          <cell r="C137" t="str">
            <v>Ausschnitt</v>
          </cell>
        </row>
        <row r="138">
          <cell r="C138" t="str">
            <v>Press-Service</v>
          </cell>
        </row>
        <row r="139">
          <cell r="C139" t="str">
            <v>Ausschnitt</v>
          </cell>
        </row>
        <row r="140">
          <cell r="C140" t="str">
            <v>Ausschnitt</v>
          </cell>
        </row>
        <row r="141">
          <cell r="C141" t="str">
            <v>Ausschnitt</v>
          </cell>
        </row>
        <row r="142">
          <cell r="C142" t="str">
            <v>Press-Service</v>
          </cell>
        </row>
        <row r="143">
          <cell r="C143" t="str">
            <v>Ausschnitt</v>
          </cell>
        </row>
        <row r="144">
          <cell r="C144" t="str">
            <v>Durrants</v>
          </cell>
        </row>
        <row r="145">
          <cell r="C145" t="str">
            <v>Ausschnitt</v>
          </cell>
        </row>
        <row r="146">
          <cell r="C146" t="str">
            <v>Ausschnitt</v>
          </cell>
        </row>
        <row r="147">
          <cell r="C147" t="str">
            <v>Press-Service</v>
          </cell>
        </row>
        <row r="148">
          <cell r="C148" t="str">
            <v>Ausschnitt</v>
          </cell>
        </row>
      </sheetData>
      <sheetData sheetId="21">
        <row r="3">
          <cell r="B3" t="str">
            <v>Pressrelations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s"/>
      <sheetName val="Structure for BSA"/>
      <sheetName val="HidingColumns"/>
      <sheetName val="dedicated"/>
      <sheetName val="Fixtures"/>
      <sheetName val="Country Table Rates"/>
      <sheetName val="Weightings"/>
      <sheetName val="Sport Weighting"/>
      <sheetName val="Audience Weighting"/>
      <sheetName val="Exchange Rates"/>
      <sheetName val="Dayparts"/>
      <sheetName val="ForRebuildingTable"/>
      <sheetName val="Rates Dynamo Moscow 2013"/>
      <sheetName val="Data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>
        <row r="3">
          <cell r="C3">
            <v>0</v>
          </cell>
        </row>
        <row r="10">
          <cell r="C10">
            <v>0.2</v>
          </cell>
        </row>
      </sheetData>
      <sheetData sheetId="7"/>
      <sheetData sheetId="8"/>
      <sheetData sheetId="9">
        <row r="11">
          <cell r="C11">
            <v>1.3089999999999999</v>
          </cell>
        </row>
      </sheetData>
      <sheetData sheetId="10">
        <row r="7">
          <cell r="B7">
            <v>0</v>
          </cell>
          <cell r="C7">
            <v>4.1666666666666664E-2</v>
          </cell>
          <cell r="D7">
            <v>8.3333333333333329E-2</v>
          </cell>
          <cell r="E7">
            <v>0.125</v>
          </cell>
          <cell r="F7">
            <v>0.16666666666666666</v>
          </cell>
          <cell r="G7">
            <v>0.20833333333333334</v>
          </cell>
          <cell r="H7">
            <v>0.25</v>
          </cell>
          <cell r="I7">
            <v>0.29166666666666669</v>
          </cell>
          <cell r="J7">
            <v>0.33333333333333331</v>
          </cell>
          <cell r="K7">
            <v>0.375</v>
          </cell>
          <cell r="L7">
            <v>0.41666666666666669</v>
          </cell>
          <cell r="M7">
            <v>0.45833333333333331</v>
          </cell>
          <cell r="N7">
            <v>0.5</v>
          </cell>
          <cell r="O7">
            <v>0.54166666666666663</v>
          </cell>
          <cell r="P7">
            <v>0.58333333333333337</v>
          </cell>
          <cell r="Q7">
            <v>0.625</v>
          </cell>
          <cell r="R7">
            <v>0.66666666666666663</v>
          </cell>
          <cell r="S7">
            <v>0.70833333333333337</v>
          </cell>
          <cell r="T7">
            <v>0.75</v>
          </cell>
          <cell r="U7">
            <v>0.79166666666666663</v>
          </cell>
          <cell r="V7">
            <v>0.83333333333333337</v>
          </cell>
          <cell r="W7">
            <v>0.875</v>
          </cell>
          <cell r="X7">
            <v>0.91666666666666663</v>
          </cell>
          <cell r="Y7">
            <v>0.95833333333333337</v>
          </cell>
          <cell r="Z7">
            <v>1</v>
          </cell>
          <cell r="AA7">
            <v>1.0416666666666667</v>
          </cell>
          <cell r="AB7">
            <v>1.0833333333333333</v>
          </cell>
          <cell r="AC7">
            <v>1.125</v>
          </cell>
          <cell r="AD7">
            <v>1.1666666666666667</v>
          </cell>
          <cell r="AE7">
            <v>1.2083333333333333</v>
          </cell>
          <cell r="AF7">
            <v>1.25</v>
          </cell>
        </row>
        <row r="8">
          <cell r="A8" t="str">
            <v>Afghanistan</v>
          </cell>
          <cell r="B8" t="str">
            <v>Non-Prime</v>
          </cell>
          <cell r="C8" t="str">
            <v>Non-Prime</v>
          </cell>
          <cell r="D8" t="str">
            <v>Non-Prime</v>
          </cell>
          <cell r="E8" t="str">
            <v>Non-Prime</v>
          </cell>
          <cell r="F8" t="str">
            <v>Non-Prime</v>
          </cell>
          <cell r="G8" t="str">
            <v>Non-Prime</v>
          </cell>
          <cell r="H8" t="str">
            <v>Non-Prime</v>
          </cell>
          <cell r="I8" t="str">
            <v>Non-Prime</v>
          </cell>
          <cell r="J8" t="str">
            <v>Non-Prime</v>
          </cell>
          <cell r="K8" t="str">
            <v>Non-Prime</v>
          </cell>
          <cell r="L8" t="str">
            <v>Non-Prime</v>
          </cell>
          <cell r="M8" t="str">
            <v>Non-Prime</v>
          </cell>
          <cell r="N8" t="str">
            <v>Non-Prime</v>
          </cell>
          <cell r="O8" t="str">
            <v>Non-Prime</v>
          </cell>
          <cell r="P8" t="str">
            <v>Non-Prime</v>
          </cell>
          <cell r="Q8" t="str">
            <v>Non-Prime</v>
          </cell>
          <cell r="R8" t="str">
            <v>Non-Prime</v>
          </cell>
          <cell r="S8" t="str">
            <v>Non-Prime</v>
          </cell>
          <cell r="T8" t="str">
            <v>Prime</v>
          </cell>
          <cell r="U8" t="str">
            <v>Prime</v>
          </cell>
          <cell r="V8" t="str">
            <v>Prime</v>
          </cell>
          <cell r="W8" t="str">
            <v>Prime</v>
          </cell>
          <cell r="X8" t="str">
            <v>Non-Prime</v>
          </cell>
          <cell r="Y8" t="str">
            <v>Non-Prime</v>
          </cell>
          <cell r="Z8" t="str">
            <v>Non-Prime</v>
          </cell>
          <cell r="AA8" t="str">
            <v>Non-Prime</v>
          </cell>
          <cell r="AB8" t="str">
            <v>Non-Prime</v>
          </cell>
          <cell r="AC8" t="str">
            <v>Non-Prime</v>
          </cell>
          <cell r="AD8" t="str">
            <v>Non-Prime</v>
          </cell>
          <cell r="AE8" t="str">
            <v>Non-Prime</v>
          </cell>
          <cell r="AF8" t="str">
            <v>Non-Prime</v>
          </cell>
        </row>
        <row r="9">
          <cell r="A9" t="str">
            <v>Åland Islands</v>
          </cell>
          <cell r="B9" t="str">
            <v>Non-Prime</v>
          </cell>
          <cell r="C9" t="str">
            <v>Non-Prime</v>
          </cell>
          <cell r="D9" t="str">
            <v>Non-Prime</v>
          </cell>
          <cell r="E9" t="str">
            <v>Non-Prime</v>
          </cell>
          <cell r="F9" t="str">
            <v>Non-Prime</v>
          </cell>
          <cell r="G9" t="str">
            <v>Non-Prime</v>
          </cell>
          <cell r="H9" t="str">
            <v>Non-Prime</v>
          </cell>
          <cell r="I9" t="str">
            <v>Non-Prime</v>
          </cell>
          <cell r="J9" t="str">
            <v>Non-Prime</v>
          </cell>
          <cell r="K9" t="str">
            <v>Non-Prime</v>
          </cell>
          <cell r="L9" t="str">
            <v>Non-Prime</v>
          </cell>
          <cell r="M9" t="str">
            <v>Non-Prime</v>
          </cell>
          <cell r="N9" t="str">
            <v>Non-Prime</v>
          </cell>
          <cell r="O9" t="str">
            <v>Non-Prime</v>
          </cell>
          <cell r="P9" t="str">
            <v>Non-Prime</v>
          </cell>
          <cell r="Q9" t="str">
            <v>Non-Prime</v>
          </cell>
          <cell r="R9" t="str">
            <v>Non-Prime</v>
          </cell>
          <cell r="S9" t="str">
            <v>Prime</v>
          </cell>
          <cell r="T9" t="str">
            <v>Prime</v>
          </cell>
          <cell r="U9" t="str">
            <v>Prime</v>
          </cell>
          <cell r="V9" t="str">
            <v>Prime</v>
          </cell>
          <cell r="W9" t="str">
            <v>Prime</v>
          </cell>
          <cell r="X9" t="str">
            <v>Non-Prime</v>
          </cell>
          <cell r="Y9" t="str">
            <v>Non-Prime</v>
          </cell>
          <cell r="Z9" t="str">
            <v>Non-Prime</v>
          </cell>
          <cell r="AA9" t="str">
            <v>Non-Prime</v>
          </cell>
          <cell r="AB9" t="str">
            <v>Non-Prime</v>
          </cell>
          <cell r="AC9" t="str">
            <v>Non-Prime</v>
          </cell>
          <cell r="AD9" t="str">
            <v>Non-Prime</v>
          </cell>
          <cell r="AE9" t="str">
            <v>Non-Prime</v>
          </cell>
          <cell r="AF9" t="str">
            <v>Non-Prime</v>
          </cell>
        </row>
        <row r="10">
          <cell r="A10" t="str">
            <v>Albania</v>
          </cell>
          <cell r="B10" t="str">
            <v>Non-Prime</v>
          </cell>
          <cell r="C10" t="str">
            <v>Non-Prime</v>
          </cell>
          <cell r="D10" t="str">
            <v>Non-Prime</v>
          </cell>
          <cell r="E10" t="str">
            <v>Non-Prime</v>
          </cell>
          <cell r="F10" t="str">
            <v>Non-Prime</v>
          </cell>
          <cell r="G10" t="str">
            <v>Non-Prime</v>
          </cell>
          <cell r="H10" t="str">
            <v>Non-Prime</v>
          </cell>
          <cell r="I10" t="str">
            <v>Non-Prime</v>
          </cell>
          <cell r="J10" t="str">
            <v>Non-Prime</v>
          </cell>
          <cell r="K10" t="str">
            <v>Non-Prime</v>
          </cell>
          <cell r="L10" t="str">
            <v>Non-Prime</v>
          </cell>
          <cell r="M10" t="str">
            <v>Non-Prime</v>
          </cell>
          <cell r="N10" t="str">
            <v>Non-Prime</v>
          </cell>
          <cell r="O10" t="str">
            <v>Non-Prime</v>
          </cell>
          <cell r="P10" t="str">
            <v>Non-Prime</v>
          </cell>
          <cell r="Q10" t="str">
            <v>Non-Prime</v>
          </cell>
          <cell r="R10" t="str">
            <v>Non-Prime</v>
          </cell>
          <cell r="S10" t="str">
            <v>Prime</v>
          </cell>
          <cell r="T10" t="str">
            <v>Prime</v>
          </cell>
          <cell r="U10" t="str">
            <v>Prime</v>
          </cell>
          <cell r="V10" t="str">
            <v>Prime</v>
          </cell>
          <cell r="W10" t="str">
            <v>Prime</v>
          </cell>
          <cell r="X10" t="str">
            <v>Prime</v>
          </cell>
          <cell r="Y10" t="str">
            <v>Non-Prime</v>
          </cell>
          <cell r="Z10" t="str">
            <v>Non-Prime</v>
          </cell>
          <cell r="AA10" t="str">
            <v>Non-Prime</v>
          </cell>
          <cell r="AB10" t="str">
            <v>Non-Prime</v>
          </cell>
          <cell r="AC10" t="str">
            <v>Non-Prime</v>
          </cell>
          <cell r="AD10" t="str">
            <v>Non-Prime</v>
          </cell>
          <cell r="AE10" t="str">
            <v>Non-Prime</v>
          </cell>
          <cell r="AF10" t="str">
            <v>Non-Prime</v>
          </cell>
        </row>
        <row r="11">
          <cell r="A11" t="str">
            <v>Algeria</v>
          </cell>
          <cell r="B11" t="str">
            <v>Non-Prime</v>
          </cell>
          <cell r="C11" t="str">
            <v>Non-Prime</v>
          </cell>
          <cell r="D11" t="str">
            <v>Non-Prime</v>
          </cell>
          <cell r="E11" t="str">
            <v>Non-Prime</v>
          </cell>
          <cell r="F11" t="str">
            <v>Non-Prime</v>
          </cell>
          <cell r="G11" t="str">
            <v>Non-Prime</v>
          </cell>
          <cell r="H11" t="str">
            <v>Non-Prime</v>
          </cell>
          <cell r="I11" t="str">
            <v>Non-Prime</v>
          </cell>
          <cell r="J11" t="str">
            <v>Non-Prime</v>
          </cell>
          <cell r="K11" t="str">
            <v>Non-Prime</v>
          </cell>
          <cell r="L11" t="str">
            <v>Non-Prime</v>
          </cell>
          <cell r="M11" t="str">
            <v>Non-Prime</v>
          </cell>
          <cell r="N11" t="str">
            <v>Non-Prime</v>
          </cell>
          <cell r="O11" t="str">
            <v>Non-Prime</v>
          </cell>
          <cell r="P11" t="str">
            <v>Non-Prime</v>
          </cell>
          <cell r="Q11" t="str">
            <v>Non-Prime</v>
          </cell>
          <cell r="R11" t="str">
            <v>Non-Prime</v>
          </cell>
          <cell r="S11" t="str">
            <v>Prime</v>
          </cell>
          <cell r="T11" t="str">
            <v>Prime</v>
          </cell>
          <cell r="U11" t="str">
            <v>Prime</v>
          </cell>
          <cell r="V11" t="str">
            <v>Prime</v>
          </cell>
          <cell r="W11" t="str">
            <v>Prime</v>
          </cell>
          <cell r="X11" t="str">
            <v>Prime</v>
          </cell>
          <cell r="Y11" t="str">
            <v>Non-Prime</v>
          </cell>
          <cell r="Z11" t="str">
            <v>Non-Prime</v>
          </cell>
          <cell r="AA11" t="str">
            <v>Non-Prime</v>
          </cell>
          <cell r="AB11" t="str">
            <v>Non-Prime</v>
          </cell>
          <cell r="AC11" t="str">
            <v>Non-Prime</v>
          </cell>
          <cell r="AD11" t="str">
            <v>Non-Prime</v>
          </cell>
          <cell r="AE11" t="str">
            <v>Non-Prime</v>
          </cell>
          <cell r="AF11" t="str">
            <v>Non-Prime</v>
          </cell>
        </row>
        <row r="12">
          <cell r="A12" t="str">
            <v>American Samoa</v>
          </cell>
          <cell r="B12" t="str">
            <v>Non-Prime</v>
          </cell>
          <cell r="C12" t="str">
            <v>Non-Prime</v>
          </cell>
          <cell r="D12" t="str">
            <v>Non-Prime</v>
          </cell>
          <cell r="E12" t="str">
            <v>Non-Prime</v>
          </cell>
          <cell r="F12" t="str">
            <v>Non-Prime</v>
          </cell>
          <cell r="G12" t="str">
            <v>Non-Prime</v>
          </cell>
          <cell r="H12" t="str">
            <v>Non-Prime</v>
          </cell>
          <cell r="I12" t="str">
            <v>Non-Prime</v>
          </cell>
          <cell r="J12" t="str">
            <v>Non-Prime</v>
          </cell>
          <cell r="K12" t="str">
            <v>Non-Prime</v>
          </cell>
          <cell r="L12" t="str">
            <v>Non-Prime</v>
          </cell>
          <cell r="M12" t="str">
            <v>Non-Prime</v>
          </cell>
          <cell r="N12" t="str">
            <v>Non-Prime</v>
          </cell>
          <cell r="O12" t="str">
            <v>Non-Prime</v>
          </cell>
          <cell r="P12" t="str">
            <v>Non-Prime</v>
          </cell>
          <cell r="Q12" t="str">
            <v>Non-Prime</v>
          </cell>
          <cell r="R12" t="str">
            <v>Prime</v>
          </cell>
          <cell r="S12" t="str">
            <v>Prime</v>
          </cell>
          <cell r="T12" t="str">
            <v>Prime</v>
          </cell>
          <cell r="U12" t="str">
            <v>Prime</v>
          </cell>
          <cell r="V12" t="str">
            <v>Prime</v>
          </cell>
          <cell r="W12" t="str">
            <v>Prime</v>
          </cell>
          <cell r="X12" t="str">
            <v>Prime</v>
          </cell>
          <cell r="Y12" t="str">
            <v>Non-Prime</v>
          </cell>
          <cell r="Z12" t="str">
            <v>Non-Prime</v>
          </cell>
          <cell r="AA12" t="str">
            <v>Non-Prime</v>
          </cell>
          <cell r="AB12" t="str">
            <v>Non-Prime</v>
          </cell>
          <cell r="AC12" t="str">
            <v>Non-Prime</v>
          </cell>
          <cell r="AD12" t="str">
            <v>Non-Prime</v>
          </cell>
          <cell r="AE12" t="str">
            <v>Non-Prime</v>
          </cell>
          <cell r="AF12" t="str">
            <v>Non-Prime</v>
          </cell>
        </row>
        <row r="13">
          <cell r="A13" t="str">
            <v>Andorra</v>
          </cell>
          <cell r="B13" t="str">
            <v>Non-Prime</v>
          </cell>
          <cell r="C13" t="str">
            <v>Non-Prime</v>
          </cell>
          <cell r="D13" t="str">
            <v>Non-Prime</v>
          </cell>
          <cell r="E13" t="str">
            <v>Non-Prime</v>
          </cell>
          <cell r="F13" t="str">
            <v>Non-Prime</v>
          </cell>
          <cell r="G13" t="str">
            <v>Non-Prime</v>
          </cell>
          <cell r="H13" t="str">
            <v>Non-Prime</v>
          </cell>
          <cell r="I13" t="str">
            <v>Non-Prime</v>
          </cell>
          <cell r="J13" t="str">
            <v>Non-Prime</v>
          </cell>
          <cell r="K13" t="str">
            <v>Non-Prime</v>
          </cell>
          <cell r="L13" t="str">
            <v>Non-Prime</v>
          </cell>
          <cell r="M13" t="str">
            <v>Non-Prime</v>
          </cell>
          <cell r="N13" t="str">
            <v>Non-Prime</v>
          </cell>
          <cell r="O13" t="str">
            <v>Non-Prime</v>
          </cell>
          <cell r="P13" t="str">
            <v>Non-Prime</v>
          </cell>
          <cell r="Q13" t="str">
            <v>Non-Prime</v>
          </cell>
          <cell r="R13" t="str">
            <v>Non-Prime</v>
          </cell>
          <cell r="S13" t="str">
            <v>Non-Prime</v>
          </cell>
          <cell r="T13" t="str">
            <v>Prime</v>
          </cell>
          <cell r="U13" t="str">
            <v>Prime</v>
          </cell>
          <cell r="V13" t="str">
            <v>Prime</v>
          </cell>
          <cell r="W13" t="str">
            <v>Prime</v>
          </cell>
          <cell r="X13" t="str">
            <v>Prime</v>
          </cell>
          <cell r="Y13" t="str">
            <v>Non-Prime</v>
          </cell>
          <cell r="Z13" t="str">
            <v>Non-Prime</v>
          </cell>
          <cell r="AA13" t="str">
            <v>Non-Prime</v>
          </cell>
          <cell r="AB13" t="str">
            <v>Non-Prime</v>
          </cell>
          <cell r="AC13" t="str">
            <v>Non-Prime</v>
          </cell>
          <cell r="AD13" t="str">
            <v>Non-Prime</v>
          </cell>
          <cell r="AE13" t="str">
            <v>Non-Prime</v>
          </cell>
          <cell r="AF13" t="str">
            <v>Non-Prime</v>
          </cell>
        </row>
        <row r="14">
          <cell r="A14" t="str">
            <v>Angola</v>
          </cell>
          <cell r="B14" t="str">
            <v>Non-Prime</v>
          </cell>
          <cell r="C14" t="str">
            <v>Non-Prime</v>
          </cell>
          <cell r="D14" t="str">
            <v>Non-Prime</v>
          </cell>
          <cell r="E14" t="str">
            <v>Non-Prime</v>
          </cell>
          <cell r="F14" t="str">
            <v>Non-Prime</v>
          </cell>
          <cell r="G14" t="str">
            <v>Non-Prime</v>
          </cell>
          <cell r="H14" t="str">
            <v>Non-Prime</v>
          </cell>
          <cell r="I14" t="str">
            <v>Non-Prime</v>
          </cell>
          <cell r="J14" t="str">
            <v>Non-Prime</v>
          </cell>
          <cell r="K14" t="str">
            <v>Non-Prime</v>
          </cell>
          <cell r="L14" t="str">
            <v>Non-Prime</v>
          </cell>
          <cell r="M14" t="str">
            <v>Non-Prime</v>
          </cell>
          <cell r="N14" t="str">
            <v>Non-Prime</v>
          </cell>
          <cell r="O14" t="str">
            <v>Non-Prime</v>
          </cell>
          <cell r="P14" t="str">
            <v>Non-Prime</v>
          </cell>
          <cell r="Q14" t="str">
            <v>Non-Prime</v>
          </cell>
          <cell r="R14" t="str">
            <v>Non-Prime</v>
          </cell>
          <cell r="S14" t="str">
            <v>Non-Prime</v>
          </cell>
          <cell r="T14" t="str">
            <v>Prime</v>
          </cell>
          <cell r="U14" t="str">
            <v>Prime</v>
          </cell>
          <cell r="V14" t="str">
            <v>Prime</v>
          </cell>
          <cell r="W14" t="str">
            <v>Prime</v>
          </cell>
          <cell r="X14" t="str">
            <v>Prime</v>
          </cell>
          <cell r="Y14" t="str">
            <v>Non-Prime</v>
          </cell>
          <cell r="Z14" t="str">
            <v>Non-Prime</v>
          </cell>
          <cell r="AA14" t="str">
            <v>Non-Prime</v>
          </cell>
          <cell r="AB14" t="str">
            <v>Non-Prime</v>
          </cell>
          <cell r="AC14" t="str">
            <v>Non-Prime</v>
          </cell>
          <cell r="AD14" t="str">
            <v>Non-Prime</v>
          </cell>
          <cell r="AE14" t="str">
            <v>Non-Prime</v>
          </cell>
          <cell r="AF14" t="str">
            <v>Non-Prime</v>
          </cell>
        </row>
        <row r="15">
          <cell r="A15" t="str">
            <v>Anguilla</v>
          </cell>
          <cell r="B15" t="str">
            <v>Non-Prime</v>
          </cell>
          <cell r="C15" t="str">
            <v>Non-Prime</v>
          </cell>
          <cell r="D15" t="str">
            <v>Non-Prime</v>
          </cell>
          <cell r="E15" t="str">
            <v>Non-Prime</v>
          </cell>
          <cell r="F15" t="str">
            <v>Non-Prime</v>
          </cell>
          <cell r="G15" t="str">
            <v>Non-Prime</v>
          </cell>
          <cell r="H15" t="str">
            <v>Non-Prime</v>
          </cell>
          <cell r="I15" t="str">
            <v>Non-Prime</v>
          </cell>
          <cell r="J15" t="str">
            <v>Non-Prime</v>
          </cell>
          <cell r="K15" t="str">
            <v>Non-Prime</v>
          </cell>
          <cell r="L15" t="str">
            <v>Non-Prime</v>
          </cell>
          <cell r="M15" t="str">
            <v>Non-Prime</v>
          </cell>
          <cell r="N15" t="str">
            <v>Non-Prime</v>
          </cell>
          <cell r="O15" t="str">
            <v>Non-Prime</v>
          </cell>
          <cell r="P15" t="str">
            <v>Non-Prime</v>
          </cell>
          <cell r="Q15" t="str">
            <v>Non-Prime</v>
          </cell>
          <cell r="R15" t="str">
            <v>Non-Prime</v>
          </cell>
          <cell r="S15" t="str">
            <v>Non-Prime</v>
          </cell>
          <cell r="T15" t="str">
            <v>Prime</v>
          </cell>
          <cell r="U15" t="str">
            <v>Prime</v>
          </cell>
          <cell r="V15" t="str">
            <v>Prime</v>
          </cell>
          <cell r="W15" t="str">
            <v>Prime</v>
          </cell>
          <cell r="X15" t="str">
            <v>Prime</v>
          </cell>
          <cell r="Y15" t="str">
            <v>Non-Prime</v>
          </cell>
          <cell r="Z15" t="str">
            <v>Non-Prime</v>
          </cell>
          <cell r="AA15" t="str">
            <v>Non-Prime</v>
          </cell>
          <cell r="AB15" t="str">
            <v>Non-Prime</v>
          </cell>
          <cell r="AC15" t="str">
            <v>Non-Prime</v>
          </cell>
          <cell r="AD15" t="str">
            <v>Non-Prime</v>
          </cell>
          <cell r="AE15" t="str">
            <v>Non-Prime</v>
          </cell>
          <cell r="AF15" t="str">
            <v>Non-Prime</v>
          </cell>
        </row>
        <row r="16">
          <cell r="A16" t="str">
            <v>Antigua &amp; Barbuda</v>
          </cell>
          <cell r="B16" t="str">
            <v>Non-Prime</v>
          </cell>
          <cell r="C16" t="str">
            <v>Non-Prime</v>
          </cell>
          <cell r="D16" t="str">
            <v>Non-Prime</v>
          </cell>
          <cell r="E16" t="str">
            <v>Non-Prime</v>
          </cell>
          <cell r="F16" t="str">
            <v>Non-Prime</v>
          </cell>
          <cell r="G16" t="str">
            <v>Non-Prime</v>
          </cell>
          <cell r="H16" t="str">
            <v>Non-Prime</v>
          </cell>
          <cell r="I16" t="str">
            <v>Non-Prime</v>
          </cell>
          <cell r="J16" t="str">
            <v>Non-Prime</v>
          </cell>
          <cell r="K16" t="str">
            <v>Non-Prime</v>
          </cell>
          <cell r="L16" t="str">
            <v>Non-Prime</v>
          </cell>
          <cell r="M16" t="str">
            <v>Non-Prime</v>
          </cell>
          <cell r="N16" t="str">
            <v>Non-Prime</v>
          </cell>
          <cell r="O16" t="str">
            <v>Non-Prime</v>
          </cell>
          <cell r="P16" t="str">
            <v>Non-Prime</v>
          </cell>
          <cell r="Q16" t="str">
            <v>Non-Prime</v>
          </cell>
          <cell r="R16" t="str">
            <v>Non-Prime</v>
          </cell>
          <cell r="S16" t="str">
            <v>Non-Prime</v>
          </cell>
          <cell r="T16" t="str">
            <v>Prime</v>
          </cell>
          <cell r="U16" t="str">
            <v>Prime</v>
          </cell>
          <cell r="V16" t="str">
            <v>Prime</v>
          </cell>
          <cell r="W16" t="str">
            <v>Prime</v>
          </cell>
          <cell r="X16" t="str">
            <v>Prime</v>
          </cell>
          <cell r="Y16" t="str">
            <v>Non-Prime</v>
          </cell>
          <cell r="Z16" t="str">
            <v>Non-Prime</v>
          </cell>
          <cell r="AA16" t="str">
            <v>Non-Prime</v>
          </cell>
          <cell r="AB16" t="str">
            <v>Non-Prime</v>
          </cell>
          <cell r="AC16" t="str">
            <v>Non-Prime</v>
          </cell>
          <cell r="AD16" t="str">
            <v>Non-Prime</v>
          </cell>
          <cell r="AE16" t="str">
            <v>Non-Prime</v>
          </cell>
          <cell r="AF16" t="str">
            <v>Non-Prime</v>
          </cell>
        </row>
        <row r="17">
          <cell r="A17" t="str">
            <v>Argentina</v>
          </cell>
          <cell r="B17" t="str">
            <v>Non-Prime</v>
          </cell>
          <cell r="C17" t="str">
            <v>Non-Prime</v>
          </cell>
          <cell r="D17" t="str">
            <v>Non-Prime</v>
          </cell>
          <cell r="E17" t="str">
            <v>Non-Prime</v>
          </cell>
          <cell r="F17" t="str">
            <v>Non-Prime</v>
          </cell>
          <cell r="G17" t="str">
            <v>Non-Prime</v>
          </cell>
          <cell r="H17" t="str">
            <v>Non-Prime</v>
          </cell>
          <cell r="I17" t="str">
            <v>Non-Prime</v>
          </cell>
          <cell r="J17" t="str">
            <v>Non-Prime</v>
          </cell>
          <cell r="K17" t="str">
            <v>Non-Prime</v>
          </cell>
          <cell r="L17" t="str">
            <v>Non-Prime</v>
          </cell>
          <cell r="M17" t="str">
            <v>Non-Prime</v>
          </cell>
          <cell r="N17" t="str">
            <v>Non-Prime</v>
          </cell>
          <cell r="O17" t="str">
            <v>Non-Prime</v>
          </cell>
          <cell r="P17" t="str">
            <v>Non-Prime</v>
          </cell>
          <cell r="Q17" t="str">
            <v>Non-Prime</v>
          </cell>
          <cell r="R17" t="str">
            <v>Non-Prime</v>
          </cell>
          <cell r="S17" t="str">
            <v>Non-Prime</v>
          </cell>
          <cell r="T17" t="str">
            <v>Prime</v>
          </cell>
          <cell r="U17" t="str">
            <v>Prime</v>
          </cell>
          <cell r="V17" t="str">
            <v>Prime</v>
          </cell>
          <cell r="W17" t="str">
            <v>Prime</v>
          </cell>
          <cell r="X17" t="str">
            <v>Prime</v>
          </cell>
          <cell r="Y17" t="str">
            <v>Prime</v>
          </cell>
          <cell r="Z17" t="str">
            <v>Non-Prime</v>
          </cell>
          <cell r="AA17" t="str">
            <v>Non-Prime</v>
          </cell>
          <cell r="AB17" t="str">
            <v>Non-Prime</v>
          </cell>
          <cell r="AC17" t="str">
            <v>Non-Prime</v>
          </cell>
          <cell r="AD17" t="str">
            <v>Non-Prime</v>
          </cell>
          <cell r="AE17" t="str">
            <v>Non-Prime</v>
          </cell>
          <cell r="AF17" t="str">
            <v>Non-Prime</v>
          </cell>
        </row>
        <row r="18">
          <cell r="A18" t="str">
            <v>Armenia</v>
          </cell>
          <cell r="B18" t="str">
            <v>Non-Prime</v>
          </cell>
          <cell r="C18" t="str">
            <v>Non-Prime</v>
          </cell>
          <cell r="D18" t="str">
            <v>Non-Prime</v>
          </cell>
          <cell r="E18" t="str">
            <v>Non-Prime</v>
          </cell>
          <cell r="F18" t="str">
            <v>Non-Prime</v>
          </cell>
          <cell r="G18" t="str">
            <v>Non-Prime</v>
          </cell>
          <cell r="H18" t="str">
            <v>Non-Prime</v>
          </cell>
          <cell r="I18" t="str">
            <v>Non-Prime</v>
          </cell>
          <cell r="J18" t="str">
            <v>Non-Prime</v>
          </cell>
          <cell r="K18" t="str">
            <v>Non-Prime</v>
          </cell>
          <cell r="L18" t="str">
            <v>Non-Prime</v>
          </cell>
          <cell r="M18" t="str">
            <v>Non-Prime</v>
          </cell>
          <cell r="N18" t="str">
            <v>Non-Prime</v>
          </cell>
          <cell r="O18" t="str">
            <v>Non-Prime</v>
          </cell>
          <cell r="P18" t="str">
            <v>Non-Prime</v>
          </cell>
          <cell r="Q18" t="str">
            <v>Non-Prime</v>
          </cell>
          <cell r="R18" t="str">
            <v>Non-Prime</v>
          </cell>
          <cell r="S18" t="str">
            <v>Non-Prime</v>
          </cell>
          <cell r="T18" t="str">
            <v>Prime</v>
          </cell>
          <cell r="U18" t="str">
            <v>Prime</v>
          </cell>
          <cell r="V18" t="str">
            <v>Prime</v>
          </cell>
          <cell r="W18" t="str">
            <v>Prime</v>
          </cell>
          <cell r="X18" t="str">
            <v>Prime</v>
          </cell>
          <cell r="Y18" t="str">
            <v>Non-Prime</v>
          </cell>
          <cell r="Z18" t="str">
            <v>Non-Prime</v>
          </cell>
          <cell r="AA18" t="str">
            <v>Non-Prime</v>
          </cell>
          <cell r="AB18" t="str">
            <v>Non-Prime</v>
          </cell>
          <cell r="AC18" t="str">
            <v>Non-Prime</v>
          </cell>
          <cell r="AD18" t="str">
            <v>Non-Prime</v>
          </cell>
          <cell r="AE18" t="str">
            <v>Non-Prime</v>
          </cell>
          <cell r="AF18" t="str">
            <v>Non-Prime</v>
          </cell>
        </row>
        <row r="19">
          <cell r="A19" t="str">
            <v>Aruba</v>
          </cell>
          <cell r="B19" t="str">
            <v>Non-Prime</v>
          </cell>
          <cell r="C19" t="str">
            <v>Non-Prime</v>
          </cell>
          <cell r="D19" t="str">
            <v>Non-Prime</v>
          </cell>
          <cell r="E19" t="str">
            <v>Non-Prime</v>
          </cell>
          <cell r="F19" t="str">
            <v>Non-Prime</v>
          </cell>
          <cell r="G19" t="str">
            <v>Non-Prime</v>
          </cell>
          <cell r="H19" t="str">
            <v>Non-Prime</v>
          </cell>
          <cell r="I19" t="str">
            <v>Non-Prime</v>
          </cell>
          <cell r="J19" t="str">
            <v>Non-Prime</v>
          </cell>
          <cell r="K19" t="str">
            <v>Non-Prime</v>
          </cell>
          <cell r="L19" t="str">
            <v>Non-Prime</v>
          </cell>
          <cell r="M19" t="str">
            <v>Non-Prime</v>
          </cell>
          <cell r="N19" t="str">
            <v>Non-Prime</v>
          </cell>
          <cell r="O19" t="str">
            <v>Non-Prime</v>
          </cell>
          <cell r="P19" t="str">
            <v>Non-Prime</v>
          </cell>
          <cell r="Q19" t="str">
            <v>Non-Prime</v>
          </cell>
          <cell r="R19" t="str">
            <v>Non-Prime</v>
          </cell>
          <cell r="S19" t="str">
            <v>Non-Prime</v>
          </cell>
          <cell r="T19" t="str">
            <v>Prime</v>
          </cell>
          <cell r="U19" t="str">
            <v>Prime</v>
          </cell>
          <cell r="V19" t="str">
            <v>Prime</v>
          </cell>
          <cell r="W19" t="str">
            <v>Prime</v>
          </cell>
          <cell r="X19" t="str">
            <v>Prime</v>
          </cell>
          <cell r="Y19" t="str">
            <v>Non-Prime</v>
          </cell>
          <cell r="Z19" t="str">
            <v>Non-Prime</v>
          </cell>
          <cell r="AA19" t="str">
            <v>Non-Prime</v>
          </cell>
          <cell r="AB19" t="str">
            <v>Non-Prime</v>
          </cell>
          <cell r="AC19" t="str">
            <v>Non-Prime</v>
          </cell>
          <cell r="AD19" t="str">
            <v>Non-Prime</v>
          </cell>
          <cell r="AE19" t="str">
            <v>Non-Prime</v>
          </cell>
          <cell r="AF19" t="str">
            <v>Non-Prime</v>
          </cell>
        </row>
        <row r="20">
          <cell r="A20" t="str">
            <v>Australasia</v>
          </cell>
          <cell r="B20" t="str">
            <v>Non-Prime</v>
          </cell>
          <cell r="C20" t="str">
            <v>Non-Prime</v>
          </cell>
          <cell r="D20" t="str">
            <v>Non-Prime</v>
          </cell>
          <cell r="E20" t="str">
            <v>Non-Prime</v>
          </cell>
          <cell r="F20" t="str">
            <v>Non-Prime</v>
          </cell>
          <cell r="G20" t="str">
            <v>Non-Prime</v>
          </cell>
          <cell r="H20" t="str">
            <v>Non-Prime</v>
          </cell>
          <cell r="I20" t="str">
            <v>Non-Prime</v>
          </cell>
          <cell r="J20" t="str">
            <v>Non-Prime</v>
          </cell>
          <cell r="K20" t="str">
            <v>Non-Prime</v>
          </cell>
          <cell r="L20" t="str">
            <v>Non-Prime</v>
          </cell>
          <cell r="M20" t="str">
            <v>Non-Prime</v>
          </cell>
          <cell r="N20" t="str">
            <v>Non-Prime</v>
          </cell>
          <cell r="O20" t="str">
            <v>Non-Prime</v>
          </cell>
          <cell r="P20" t="str">
            <v>Non-Prime</v>
          </cell>
          <cell r="Q20" t="str">
            <v>Non-Prime</v>
          </cell>
          <cell r="R20" t="str">
            <v>Non-Prime</v>
          </cell>
          <cell r="S20" t="str">
            <v>Non-Prime</v>
          </cell>
          <cell r="T20" t="str">
            <v>Non-Prime</v>
          </cell>
          <cell r="U20" t="str">
            <v>Prime</v>
          </cell>
          <cell r="V20" t="str">
            <v>Prime</v>
          </cell>
          <cell r="W20" t="str">
            <v>Prime</v>
          </cell>
          <cell r="X20" t="str">
            <v>Prime</v>
          </cell>
          <cell r="Y20" t="str">
            <v>Prime</v>
          </cell>
          <cell r="Z20" t="str">
            <v>Non-Prime</v>
          </cell>
          <cell r="AA20" t="str">
            <v>Non-Prime</v>
          </cell>
          <cell r="AB20" t="str">
            <v>Non-Prime</v>
          </cell>
          <cell r="AC20" t="str">
            <v>Non-Prime</v>
          </cell>
          <cell r="AD20" t="str">
            <v>Non-Prime</v>
          </cell>
          <cell r="AE20" t="str">
            <v>Non-Prime</v>
          </cell>
          <cell r="AF20" t="str">
            <v>Non-Prime</v>
          </cell>
        </row>
        <row r="21">
          <cell r="A21" t="str">
            <v>Australia</v>
          </cell>
          <cell r="B21" t="str">
            <v>Non-Prime</v>
          </cell>
          <cell r="C21" t="str">
            <v>Non-Prime</v>
          </cell>
          <cell r="D21" t="str">
            <v>Non-Prime</v>
          </cell>
          <cell r="E21" t="str">
            <v>Non-Prime</v>
          </cell>
          <cell r="F21" t="str">
            <v>Non-Prime</v>
          </cell>
          <cell r="G21" t="str">
            <v>Non-Prime</v>
          </cell>
          <cell r="H21" t="str">
            <v>Non-Prime</v>
          </cell>
          <cell r="I21" t="str">
            <v>Non-Prime</v>
          </cell>
          <cell r="J21" t="str">
            <v>Non-Prime</v>
          </cell>
          <cell r="K21" t="str">
            <v>Non-Prime</v>
          </cell>
          <cell r="L21" t="str">
            <v>Non-Prime</v>
          </cell>
          <cell r="M21" t="str">
            <v>Non-Prime</v>
          </cell>
          <cell r="N21" t="str">
            <v>Non-Prime</v>
          </cell>
          <cell r="O21" t="str">
            <v>Non-Prime</v>
          </cell>
          <cell r="P21" t="str">
            <v>Non-Prime</v>
          </cell>
          <cell r="Q21" t="str">
            <v>Non-Prime</v>
          </cell>
          <cell r="R21" t="str">
            <v>Non-Prime</v>
          </cell>
          <cell r="S21" t="str">
            <v>Non-Prime</v>
          </cell>
          <cell r="T21" t="str">
            <v>Non-Prime</v>
          </cell>
          <cell r="U21" t="str">
            <v>Prime</v>
          </cell>
          <cell r="V21" t="str">
            <v>Prime</v>
          </cell>
          <cell r="W21" t="str">
            <v>Prime</v>
          </cell>
          <cell r="X21" t="str">
            <v>Prime</v>
          </cell>
          <cell r="Y21" t="str">
            <v>Prime</v>
          </cell>
          <cell r="Z21" t="str">
            <v>Non-Prime</v>
          </cell>
          <cell r="AA21" t="str">
            <v>Non-Prime</v>
          </cell>
          <cell r="AB21" t="str">
            <v>Non-Prime</v>
          </cell>
          <cell r="AC21" t="str">
            <v>Non-Prime</v>
          </cell>
          <cell r="AD21" t="str">
            <v>Non-Prime</v>
          </cell>
          <cell r="AE21" t="str">
            <v>Non-Prime</v>
          </cell>
          <cell r="AF21" t="str">
            <v>Non-Prime</v>
          </cell>
        </row>
        <row r="22">
          <cell r="A22" t="str">
            <v>Austria</v>
          </cell>
          <cell r="B22" t="str">
            <v>Non-Prime</v>
          </cell>
          <cell r="C22" t="str">
            <v>Non-Prime</v>
          </cell>
          <cell r="D22" t="str">
            <v>Non-Prime</v>
          </cell>
          <cell r="E22" t="str">
            <v>Non-Prime</v>
          </cell>
          <cell r="F22" t="str">
            <v>Non-Prime</v>
          </cell>
          <cell r="G22" t="str">
            <v>Non-Prime</v>
          </cell>
          <cell r="H22" t="str">
            <v>Non-Prime</v>
          </cell>
          <cell r="I22" t="str">
            <v>Non-Prime</v>
          </cell>
          <cell r="J22" t="str">
            <v>Non-Prime</v>
          </cell>
          <cell r="K22" t="str">
            <v>Non-Prime</v>
          </cell>
          <cell r="L22" t="str">
            <v>Non-Prime</v>
          </cell>
          <cell r="M22" t="str">
            <v>Non-Prime</v>
          </cell>
          <cell r="N22" t="str">
            <v>Non-Prime</v>
          </cell>
          <cell r="O22" t="str">
            <v>Non-Prime</v>
          </cell>
          <cell r="P22" t="str">
            <v>Non-Prime</v>
          </cell>
          <cell r="Q22" t="str">
            <v>Non-Prime</v>
          </cell>
          <cell r="R22" t="str">
            <v>Non-Prime</v>
          </cell>
          <cell r="S22" t="str">
            <v>Non-Prime</v>
          </cell>
          <cell r="T22" t="str">
            <v>Non-Prime</v>
          </cell>
          <cell r="U22" t="str">
            <v>Prime</v>
          </cell>
          <cell r="V22" t="str">
            <v>Prime</v>
          </cell>
          <cell r="W22" t="str">
            <v>Prime</v>
          </cell>
          <cell r="X22" t="str">
            <v>Prime</v>
          </cell>
          <cell r="Y22" t="str">
            <v>Non-Prime</v>
          </cell>
          <cell r="Z22" t="str">
            <v>Non-Prime</v>
          </cell>
          <cell r="AA22" t="str">
            <v>Non-Prime</v>
          </cell>
          <cell r="AB22" t="str">
            <v>Non-Prime</v>
          </cell>
          <cell r="AC22" t="str">
            <v>Non-Prime</v>
          </cell>
          <cell r="AD22" t="str">
            <v>Non-Prime</v>
          </cell>
          <cell r="AE22" t="str">
            <v>Non-Prime</v>
          </cell>
          <cell r="AF22" t="str">
            <v>Non-Prime</v>
          </cell>
        </row>
        <row r="23">
          <cell r="A23" t="str">
            <v>Azerbaijan</v>
          </cell>
          <cell r="B23" t="str">
            <v>Non-Prime</v>
          </cell>
          <cell r="C23" t="str">
            <v>Non-Prime</v>
          </cell>
          <cell r="D23" t="str">
            <v>Non-Prime</v>
          </cell>
          <cell r="E23" t="str">
            <v>Non-Prime</v>
          </cell>
          <cell r="F23" t="str">
            <v>Non-Prime</v>
          </cell>
          <cell r="G23" t="str">
            <v>Non-Prime</v>
          </cell>
          <cell r="H23" t="str">
            <v>Non-Prime</v>
          </cell>
          <cell r="I23" t="str">
            <v>Non-Prime</v>
          </cell>
          <cell r="J23" t="str">
            <v>Non-Prime</v>
          </cell>
          <cell r="K23" t="str">
            <v>Non-Prime</v>
          </cell>
          <cell r="L23" t="str">
            <v>Non-Prime</v>
          </cell>
          <cell r="M23" t="str">
            <v>Non-Prime</v>
          </cell>
          <cell r="N23" t="str">
            <v>Non-Prime</v>
          </cell>
          <cell r="O23" t="str">
            <v>Non-Prime</v>
          </cell>
          <cell r="P23" t="str">
            <v>Non-Prime</v>
          </cell>
          <cell r="Q23" t="str">
            <v>Non-Prime</v>
          </cell>
          <cell r="R23" t="str">
            <v>Non-Prime</v>
          </cell>
          <cell r="S23" t="str">
            <v>Non-Prime</v>
          </cell>
          <cell r="T23" t="str">
            <v>Prime</v>
          </cell>
          <cell r="U23" t="str">
            <v>Prime</v>
          </cell>
          <cell r="V23" t="str">
            <v>Prime</v>
          </cell>
          <cell r="W23" t="str">
            <v>Prime</v>
          </cell>
          <cell r="X23" t="str">
            <v>Prime</v>
          </cell>
          <cell r="Y23" t="str">
            <v>Non-Prime</v>
          </cell>
          <cell r="Z23" t="str">
            <v>Non-Prime</v>
          </cell>
          <cell r="AA23" t="str">
            <v>Non-Prime</v>
          </cell>
          <cell r="AB23" t="str">
            <v>Non-Prime</v>
          </cell>
          <cell r="AC23" t="str">
            <v>Non-Prime</v>
          </cell>
          <cell r="AD23" t="str">
            <v>Non-Prime</v>
          </cell>
          <cell r="AE23" t="str">
            <v>Non-Prime</v>
          </cell>
          <cell r="AF23" t="str">
            <v>Non-Prime</v>
          </cell>
        </row>
        <row r="24">
          <cell r="A24" t="str">
            <v>Bahamas</v>
          </cell>
          <cell r="B24" t="str">
            <v>Non-Prime</v>
          </cell>
          <cell r="C24" t="str">
            <v>Non-Prime</v>
          </cell>
          <cell r="D24" t="str">
            <v>Non-Prime</v>
          </cell>
          <cell r="E24" t="str">
            <v>Non-Prime</v>
          </cell>
          <cell r="F24" t="str">
            <v>Non-Prime</v>
          </cell>
          <cell r="G24" t="str">
            <v>Non-Prime</v>
          </cell>
          <cell r="H24" t="str">
            <v>Non-Prime</v>
          </cell>
          <cell r="I24" t="str">
            <v>Non-Prime</v>
          </cell>
          <cell r="J24" t="str">
            <v>Non-Prime</v>
          </cell>
          <cell r="K24" t="str">
            <v>Non-Prime</v>
          </cell>
          <cell r="L24" t="str">
            <v>Non-Prime</v>
          </cell>
          <cell r="M24" t="str">
            <v>Non-Prime</v>
          </cell>
          <cell r="N24" t="str">
            <v>Non-Prime</v>
          </cell>
          <cell r="O24" t="str">
            <v>Non-Prime</v>
          </cell>
          <cell r="P24" t="str">
            <v>Non-Prime</v>
          </cell>
          <cell r="Q24" t="str">
            <v>Non-Prime</v>
          </cell>
          <cell r="R24" t="str">
            <v>Non-Prime</v>
          </cell>
          <cell r="S24" t="str">
            <v>Non-Prime</v>
          </cell>
          <cell r="T24" t="str">
            <v>Prime</v>
          </cell>
          <cell r="U24" t="str">
            <v>Prime</v>
          </cell>
          <cell r="V24" t="str">
            <v>Prime</v>
          </cell>
          <cell r="W24" t="str">
            <v>Prime</v>
          </cell>
          <cell r="X24" t="str">
            <v>Prime</v>
          </cell>
          <cell r="Y24" t="str">
            <v>Prime</v>
          </cell>
          <cell r="Z24" t="str">
            <v>Non-Prime</v>
          </cell>
          <cell r="AA24" t="str">
            <v>Non-Prime</v>
          </cell>
          <cell r="AB24" t="str">
            <v>Non-Prime</v>
          </cell>
          <cell r="AC24" t="str">
            <v>Non-Prime</v>
          </cell>
          <cell r="AD24" t="str">
            <v>Non-Prime</v>
          </cell>
          <cell r="AE24" t="str">
            <v>Non-Prime</v>
          </cell>
          <cell r="AF24" t="str">
            <v>Non-Prime</v>
          </cell>
        </row>
        <row r="25">
          <cell r="A25" t="str">
            <v>Bahrain</v>
          </cell>
          <cell r="B25" t="str">
            <v>Non-Prime</v>
          </cell>
          <cell r="C25" t="str">
            <v>Non-Prime</v>
          </cell>
          <cell r="D25" t="str">
            <v>Non-Prime</v>
          </cell>
          <cell r="E25" t="str">
            <v>Non-Prime</v>
          </cell>
          <cell r="F25" t="str">
            <v>Non-Prime</v>
          </cell>
          <cell r="G25" t="str">
            <v>Non-Prime</v>
          </cell>
          <cell r="H25" t="str">
            <v>Non-Prime</v>
          </cell>
          <cell r="I25" t="str">
            <v>Non-Prime</v>
          </cell>
          <cell r="J25" t="str">
            <v>Non-Prime</v>
          </cell>
          <cell r="K25" t="str">
            <v>Non-Prime</v>
          </cell>
          <cell r="L25" t="str">
            <v>Non-Prime</v>
          </cell>
          <cell r="M25" t="str">
            <v>Non-Prime</v>
          </cell>
          <cell r="N25" t="str">
            <v>Non-Prime</v>
          </cell>
          <cell r="O25" t="str">
            <v>Non-Prime</v>
          </cell>
          <cell r="P25" t="str">
            <v>Non-Prime</v>
          </cell>
          <cell r="Q25" t="str">
            <v>Non-Prime</v>
          </cell>
          <cell r="R25" t="str">
            <v>Non-Prime</v>
          </cell>
          <cell r="S25" t="str">
            <v>Non-Prime</v>
          </cell>
          <cell r="T25" t="str">
            <v>Prime</v>
          </cell>
          <cell r="U25" t="str">
            <v>Prime</v>
          </cell>
          <cell r="V25" t="str">
            <v>Prime</v>
          </cell>
          <cell r="W25" t="str">
            <v>Prime</v>
          </cell>
          <cell r="X25" t="str">
            <v>Non-Prime</v>
          </cell>
          <cell r="Y25" t="str">
            <v>Non-Prime</v>
          </cell>
          <cell r="Z25" t="str">
            <v>Non-Prime</v>
          </cell>
          <cell r="AA25" t="str">
            <v>Non-Prime</v>
          </cell>
          <cell r="AB25" t="str">
            <v>Non-Prime</v>
          </cell>
          <cell r="AC25" t="str">
            <v>Non-Prime</v>
          </cell>
          <cell r="AD25" t="str">
            <v>Non-Prime</v>
          </cell>
          <cell r="AE25" t="str">
            <v>Non-Prime</v>
          </cell>
          <cell r="AF25" t="str">
            <v>Non-Prime</v>
          </cell>
        </row>
        <row r="26">
          <cell r="A26" t="str">
            <v>Balkans</v>
          </cell>
          <cell r="B26" t="str">
            <v>Non-Prime</v>
          </cell>
          <cell r="C26" t="str">
            <v>Non-Prime</v>
          </cell>
          <cell r="D26" t="str">
            <v>Non-Prime</v>
          </cell>
          <cell r="E26" t="str">
            <v>Non-Prime</v>
          </cell>
          <cell r="F26" t="str">
            <v>Non-Prime</v>
          </cell>
          <cell r="G26" t="str">
            <v>Non-Prime</v>
          </cell>
          <cell r="H26" t="str">
            <v>Non-Prime</v>
          </cell>
          <cell r="I26" t="str">
            <v>Non-Prime</v>
          </cell>
          <cell r="J26" t="str">
            <v>Non-Prime</v>
          </cell>
          <cell r="K26" t="str">
            <v>Non-Prime</v>
          </cell>
          <cell r="L26" t="str">
            <v>Non-Prime</v>
          </cell>
          <cell r="M26" t="str">
            <v>Non-Prime</v>
          </cell>
          <cell r="N26" t="str">
            <v>Non-Prime</v>
          </cell>
          <cell r="O26" t="str">
            <v>Non-Prime</v>
          </cell>
          <cell r="P26" t="str">
            <v>Non-Prime</v>
          </cell>
          <cell r="Q26" t="str">
            <v>Non-Prime</v>
          </cell>
          <cell r="R26" t="str">
            <v>Non-Prime</v>
          </cell>
          <cell r="S26" t="str">
            <v>Non-Prime</v>
          </cell>
          <cell r="T26" t="str">
            <v>Non-Prime</v>
          </cell>
          <cell r="U26" t="str">
            <v>Prime</v>
          </cell>
          <cell r="V26" t="str">
            <v>Prime</v>
          </cell>
          <cell r="W26" t="str">
            <v>Prime</v>
          </cell>
          <cell r="X26" t="str">
            <v>Prime</v>
          </cell>
          <cell r="Y26" t="str">
            <v>Non-Prime</v>
          </cell>
          <cell r="Z26" t="str">
            <v>Non-Prime</v>
          </cell>
          <cell r="AA26" t="str">
            <v>Non-Prime</v>
          </cell>
          <cell r="AB26" t="str">
            <v>Non-Prime</v>
          </cell>
          <cell r="AC26" t="str">
            <v>Non-Prime</v>
          </cell>
          <cell r="AD26" t="str">
            <v>Non-Prime</v>
          </cell>
          <cell r="AE26" t="str">
            <v>Non-Prime</v>
          </cell>
          <cell r="AF26" t="str">
            <v>Non-Prime</v>
          </cell>
        </row>
        <row r="27">
          <cell r="A27" t="str">
            <v>Baltics</v>
          </cell>
          <cell r="B27" t="str">
            <v>Non-Prime</v>
          </cell>
          <cell r="C27" t="str">
            <v>Non-Prime</v>
          </cell>
          <cell r="D27" t="str">
            <v>Non-Prime</v>
          </cell>
          <cell r="E27" t="str">
            <v>Non-Prime</v>
          </cell>
          <cell r="F27" t="str">
            <v>Non-Prime</v>
          </cell>
          <cell r="G27" t="str">
            <v>Non-Prime</v>
          </cell>
          <cell r="H27" t="str">
            <v>Non-Prime</v>
          </cell>
          <cell r="I27" t="str">
            <v>Non-Prime</v>
          </cell>
          <cell r="J27" t="str">
            <v>Non-Prime</v>
          </cell>
          <cell r="K27" t="str">
            <v>Non-Prime</v>
          </cell>
          <cell r="L27" t="str">
            <v>Non-Prime</v>
          </cell>
          <cell r="M27" t="str">
            <v>Non-Prime</v>
          </cell>
          <cell r="N27" t="str">
            <v>Non-Prime</v>
          </cell>
          <cell r="O27" t="str">
            <v>Non-Prime</v>
          </cell>
          <cell r="P27" t="str">
            <v>Non-Prime</v>
          </cell>
          <cell r="Q27" t="str">
            <v>Non-Prime</v>
          </cell>
          <cell r="R27" t="str">
            <v>Non-Prime</v>
          </cell>
          <cell r="S27" t="str">
            <v>Non-Prime</v>
          </cell>
          <cell r="T27" t="str">
            <v>Non-Prime</v>
          </cell>
          <cell r="U27" t="str">
            <v>Prime</v>
          </cell>
          <cell r="V27" t="str">
            <v>Prime</v>
          </cell>
          <cell r="W27" t="str">
            <v>Prime</v>
          </cell>
          <cell r="X27" t="str">
            <v>Prime</v>
          </cell>
          <cell r="Y27" t="str">
            <v>Non-Prime</v>
          </cell>
          <cell r="Z27" t="str">
            <v>Non-Prime</v>
          </cell>
          <cell r="AA27" t="str">
            <v>Non-Prime</v>
          </cell>
          <cell r="AB27" t="str">
            <v>Non-Prime</v>
          </cell>
          <cell r="AC27" t="str">
            <v>Non-Prime</v>
          </cell>
          <cell r="AD27" t="str">
            <v>Non-Prime</v>
          </cell>
          <cell r="AE27" t="str">
            <v>Non-Prime</v>
          </cell>
          <cell r="AF27" t="str">
            <v>Non-Prime</v>
          </cell>
        </row>
        <row r="28">
          <cell r="A28" t="str">
            <v>Barbados</v>
          </cell>
          <cell r="B28" t="str">
            <v>Non-Prime</v>
          </cell>
          <cell r="C28" t="str">
            <v>Non-Prime</v>
          </cell>
          <cell r="D28" t="str">
            <v>Non-Prime</v>
          </cell>
          <cell r="E28" t="str">
            <v>Non-Prime</v>
          </cell>
          <cell r="F28" t="str">
            <v>Non-Prime</v>
          </cell>
          <cell r="G28" t="str">
            <v>Non-Prime</v>
          </cell>
          <cell r="H28" t="str">
            <v>Non-Prime</v>
          </cell>
          <cell r="I28" t="str">
            <v>Non-Prime</v>
          </cell>
          <cell r="J28" t="str">
            <v>Non-Prime</v>
          </cell>
          <cell r="K28" t="str">
            <v>Non-Prime</v>
          </cell>
          <cell r="L28" t="str">
            <v>Non-Prime</v>
          </cell>
          <cell r="M28" t="str">
            <v>Non-Prime</v>
          </cell>
          <cell r="N28" t="str">
            <v>Non-Prime</v>
          </cell>
          <cell r="O28" t="str">
            <v>Non-Prime</v>
          </cell>
          <cell r="P28" t="str">
            <v>Non-Prime</v>
          </cell>
          <cell r="Q28" t="str">
            <v>Non-Prime</v>
          </cell>
          <cell r="R28" t="str">
            <v>Non-Prime</v>
          </cell>
          <cell r="S28" t="str">
            <v>Non-Prime</v>
          </cell>
          <cell r="T28" t="str">
            <v>Prime</v>
          </cell>
          <cell r="U28" t="str">
            <v>Prime</v>
          </cell>
          <cell r="V28" t="str">
            <v>Prime</v>
          </cell>
          <cell r="W28" t="str">
            <v>Prime</v>
          </cell>
          <cell r="X28" t="str">
            <v>Prime</v>
          </cell>
          <cell r="Y28" t="str">
            <v>Prime</v>
          </cell>
          <cell r="Z28" t="str">
            <v>Non-Prime</v>
          </cell>
          <cell r="AA28" t="str">
            <v>Non-Prime</v>
          </cell>
          <cell r="AB28" t="str">
            <v>Non-Prime</v>
          </cell>
          <cell r="AC28" t="str">
            <v>Non-Prime</v>
          </cell>
          <cell r="AD28" t="str">
            <v>Non-Prime</v>
          </cell>
          <cell r="AE28" t="str">
            <v>Non-Prime</v>
          </cell>
          <cell r="AF28" t="str">
            <v>Non-Prime</v>
          </cell>
        </row>
        <row r="29">
          <cell r="A29" t="str">
            <v>Belarus</v>
          </cell>
          <cell r="B29" t="str">
            <v>Non-Prime</v>
          </cell>
          <cell r="C29" t="str">
            <v>Non-Prime</v>
          </cell>
          <cell r="D29" t="str">
            <v>Non-Prime</v>
          </cell>
          <cell r="E29" t="str">
            <v>Non-Prime</v>
          </cell>
          <cell r="F29" t="str">
            <v>Non-Prime</v>
          </cell>
          <cell r="G29" t="str">
            <v>Non-Prime</v>
          </cell>
          <cell r="H29" t="str">
            <v>Non-Prime</v>
          </cell>
          <cell r="I29" t="str">
            <v>Non-Prime</v>
          </cell>
          <cell r="J29" t="str">
            <v>Non-Prime</v>
          </cell>
          <cell r="K29" t="str">
            <v>Non-Prime</v>
          </cell>
          <cell r="L29" t="str">
            <v>Non-Prime</v>
          </cell>
          <cell r="M29" t="str">
            <v>Non-Prime</v>
          </cell>
          <cell r="N29" t="str">
            <v>Non-Prime</v>
          </cell>
          <cell r="O29" t="str">
            <v>Non-Prime</v>
          </cell>
          <cell r="P29" t="str">
            <v>Non-Prime</v>
          </cell>
          <cell r="Q29" t="str">
            <v>Non-Prime</v>
          </cell>
          <cell r="R29" t="str">
            <v>Non-Prime</v>
          </cell>
          <cell r="S29" t="str">
            <v>Non-Prime</v>
          </cell>
          <cell r="T29" t="str">
            <v>Non-Prime</v>
          </cell>
          <cell r="U29" t="str">
            <v>Prime</v>
          </cell>
          <cell r="V29" t="str">
            <v>Prime</v>
          </cell>
          <cell r="W29" t="str">
            <v>Prime</v>
          </cell>
          <cell r="X29" t="str">
            <v>Prime</v>
          </cell>
          <cell r="Y29" t="str">
            <v>Non-Prime</v>
          </cell>
          <cell r="Z29" t="str">
            <v>Non-Prime</v>
          </cell>
          <cell r="AA29" t="str">
            <v>Non-Prime</v>
          </cell>
          <cell r="AB29" t="str">
            <v>Non-Prime</v>
          </cell>
          <cell r="AC29" t="str">
            <v>Non-Prime</v>
          </cell>
          <cell r="AD29" t="str">
            <v>Non-Prime</v>
          </cell>
          <cell r="AE29" t="str">
            <v>Non-Prime</v>
          </cell>
          <cell r="AF29" t="str">
            <v>Non-Prime</v>
          </cell>
        </row>
        <row r="30">
          <cell r="A30" t="str">
            <v>Belgium</v>
          </cell>
          <cell r="B30" t="str">
            <v>Non-Prime</v>
          </cell>
          <cell r="C30" t="str">
            <v>Non-Prime</v>
          </cell>
          <cell r="D30" t="str">
            <v>Non-Prime</v>
          </cell>
          <cell r="E30" t="str">
            <v>Non-Prime</v>
          </cell>
          <cell r="F30" t="str">
            <v>Non-Prime</v>
          </cell>
          <cell r="G30" t="str">
            <v>Non-Prime</v>
          </cell>
          <cell r="H30" t="str">
            <v>Non-Prime</v>
          </cell>
          <cell r="I30" t="str">
            <v>Non-Prime</v>
          </cell>
          <cell r="J30" t="str">
            <v>Non-Prime</v>
          </cell>
          <cell r="K30" t="str">
            <v>Non-Prime</v>
          </cell>
          <cell r="L30" t="str">
            <v>Non-Prime</v>
          </cell>
          <cell r="M30" t="str">
            <v>Non-Prime</v>
          </cell>
          <cell r="N30" t="str">
            <v>Non-Prime</v>
          </cell>
          <cell r="O30" t="str">
            <v>Non-Prime</v>
          </cell>
          <cell r="P30" t="str">
            <v>Non-Prime</v>
          </cell>
          <cell r="Q30" t="str">
            <v>Non-Prime</v>
          </cell>
          <cell r="R30" t="str">
            <v>Non-Prime</v>
          </cell>
          <cell r="S30" t="str">
            <v>Non-Prime</v>
          </cell>
          <cell r="T30" t="str">
            <v>Non-Prime</v>
          </cell>
          <cell r="U30" t="str">
            <v>Prime</v>
          </cell>
          <cell r="V30" t="str">
            <v>Prime</v>
          </cell>
          <cell r="W30" t="str">
            <v>Prime</v>
          </cell>
          <cell r="X30" t="str">
            <v>Prime</v>
          </cell>
          <cell r="Y30" t="str">
            <v>Non-Prime</v>
          </cell>
          <cell r="Z30" t="str">
            <v>Non-Prime</v>
          </cell>
          <cell r="AA30" t="str">
            <v>Non-Prime</v>
          </cell>
          <cell r="AB30" t="str">
            <v>Non-Prime</v>
          </cell>
          <cell r="AC30" t="str">
            <v>Non-Prime</v>
          </cell>
          <cell r="AD30" t="str">
            <v>Non-Prime</v>
          </cell>
          <cell r="AE30" t="str">
            <v>Non-Prime</v>
          </cell>
          <cell r="AF30" t="str">
            <v>Non-Prime</v>
          </cell>
        </row>
        <row r="31">
          <cell r="A31" t="str">
            <v>Belize</v>
          </cell>
          <cell r="B31" t="str">
            <v>Non-Prime</v>
          </cell>
          <cell r="C31" t="str">
            <v>Non-Prime</v>
          </cell>
          <cell r="D31" t="str">
            <v>Non-Prime</v>
          </cell>
          <cell r="E31" t="str">
            <v>Non-Prime</v>
          </cell>
          <cell r="F31" t="str">
            <v>Non-Prime</v>
          </cell>
          <cell r="G31" t="str">
            <v>Non-Prime</v>
          </cell>
          <cell r="H31" t="str">
            <v>Non-Prime</v>
          </cell>
          <cell r="I31" t="str">
            <v>Non-Prime</v>
          </cell>
          <cell r="J31" t="str">
            <v>Non-Prime</v>
          </cell>
          <cell r="K31" t="str">
            <v>Non-Prime</v>
          </cell>
          <cell r="L31" t="str">
            <v>Non-Prime</v>
          </cell>
          <cell r="M31" t="str">
            <v>Non-Prime</v>
          </cell>
          <cell r="N31" t="str">
            <v>Non-Prime</v>
          </cell>
          <cell r="O31" t="str">
            <v>Non-Prime</v>
          </cell>
          <cell r="P31" t="str">
            <v>Non-Prime</v>
          </cell>
          <cell r="Q31" t="str">
            <v>Non-Prime</v>
          </cell>
          <cell r="R31" t="str">
            <v>Non-Prime</v>
          </cell>
          <cell r="S31" t="str">
            <v>Non-Prime</v>
          </cell>
          <cell r="T31" t="str">
            <v>Non-Prime</v>
          </cell>
          <cell r="U31" t="str">
            <v>Non-Prime</v>
          </cell>
          <cell r="V31" t="str">
            <v>Prime</v>
          </cell>
          <cell r="W31" t="str">
            <v>Prime</v>
          </cell>
          <cell r="X31" t="str">
            <v>Prime</v>
          </cell>
          <cell r="Y31" t="str">
            <v>Prime</v>
          </cell>
          <cell r="Z31" t="str">
            <v>Non-Prime</v>
          </cell>
          <cell r="AA31" t="str">
            <v>Non-Prime</v>
          </cell>
          <cell r="AB31" t="str">
            <v>Non-Prime</v>
          </cell>
          <cell r="AC31" t="str">
            <v>Non-Prime</v>
          </cell>
          <cell r="AD31" t="str">
            <v>Non-Prime</v>
          </cell>
          <cell r="AE31" t="str">
            <v>Non-Prime</v>
          </cell>
          <cell r="AF31" t="str">
            <v>Non-Prime</v>
          </cell>
        </row>
        <row r="32">
          <cell r="A32" t="str">
            <v>Benin</v>
          </cell>
          <cell r="B32" t="str">
            <v>Non-Prime</v>
          </cell>
          <cell r="C32" t="str">
            <v>Non-Prime</v>
          </cell>
          <cell r="D32" t="str">
            <v>Non-Prime</v>
          </cell>
          <cell r="E32" t="str">
            <v>Non-Prime</v>
          </cell>
          <cell r="F32" t="str">
            <v>Non-Prime</v>
          </cell>
          <cell r="G32" t="str">
            <v>Non-Prime</v>
          </cell>
          <cell r="H32" t="str">
            <v>Non-Prime</v>
          </cell>
          <cell r="I32" t="str">
            <v>Non-Prime</v>
          </cell>
          <cell r="J32" t="str">
            <v>Non-Prime</v>
          </cell>
          <cell r="K32" t="str">
            <v>Non-Prime</v>
          </cell>
          <cell r="L32" t="str">
            <v>Non-Prime</v>
          </cell>
          <cell r="M32" t="str">
            <v>Non-Prime</v>
          </cell>
          <cell r="N32" t="str">
            <v>Non-Prime</v>
          </cell>
          <cell r="O32" t="str">
            <v>Non-Prime</v>
          </cell>
          <cell r="P32" t="str">
            <v>Non-Prime</v>
          </cell>
          <cell r="Q32" t="str">
            <v>Non-Prime</v>
          </cell>
          <cell r="R32" t="str">
            <v>Non-Prime</v>
          </cell>
          <cell r="S32" t="str">
            <v>Non-Prime</v>
          </cell>
          <cell r="T32" t="str">
            <v>Prime</v>
          </cell>
          <cell r="U32" t="str">
            <v>Prime</v>
          </cell>
          <cell r="V32" t="str">
            <v>Prime</v>
          </cell>
          <cell r="W32" t="str">
            <v>Prime</v>
          </cell>
          <cell r="X32" t="str">
            <v>Prime</v>
          </cell>
          <cell r="Y32" t="str">
            <v>Prime</v>
          </cell>
          <cell r="Z32" t="str">
            <v>Non-Prime</v>
          </cell>
          <cell r="AA32" t="str">
            <v>Non-Prime</v>
          </cell>
          <cell r="AB32" t="str">
            <v>Non-Prime</v>
          </cell>
          <cell r="AC32" t="str">
            <v>Non-Prime</v>
          </cell>
          <cell r="AD32" t="str">
            <v>Non-Prime</v>
          </cell>
          <cell r="AE32" t="str">
            <v>Non-Prime</v>
          </cell>
          <cell r="AF32" t="str">
            <v>Non-Prime</v>
          </cell>
        </row>
        <row r="33">
          <cell r="A33" t="str">
            <v>Bermuda</v>
          </cell>
          <cell r="B33" t="str">
            <v>Non-Prime</v>
          </cell>
          <cell r="C33" t="str">
            <v>Non-Prime</v>
          </cell>
          <cell r="D33" t="str">
            <v>Non-Prime</v>
          </cell>
          <cell r="E33" t="str">
            <v>Non-Prime</v>
          </cell>
          <cell r="F33" t="str">
            <v>Non-Prime</v>
          </cell>
          <cell r="G33" t="str">
            <v>Non-Prime</v>
          </cell>
          <cell r="H33" t="str">
            <v>Non-Prime</v>
          </cell>
          <cell r="I33" t="str">
            <v>Non-Prime</v>
          </cell>
          <cell r="J33" t="str">
            <v>Non-Prime</v>
          </cell>
          <cell r="K33" t="str">
            <v>Non-Prime</v>
          </cell>
          <cell r="L33" t="str">
            <v>Non-Prime</v>
          </cell>
          <cell r="M33" t="str">
            <v>Non-Prime</v>
          </cell>
          <cell r="N33" t="str">
            <v>Non-Prime</v>
          </cell>
          <cell r="O33" t="str">
            <v>Non-Prime</v>
          </cell>
          <cell r="P33" t="str">
            <v>Non-Prime</v>
          </cell>
          <cell r="Q33" t="str">
            <v>Non-Prime</v>
          </cell>
          <cell r="R33" t="str">
            <v>Non-Prime</v>
          </cell>
          <cell r="S33" t="str">
            <v>Non-Prime</v>
          </cell>
          <cell r="T33" t="str">
            <v>Non-Prime</v>
          </cell>
          <cell r="U33" t="str">
            <v>Non-Prime</v>
          </cell>
          <cell r="V33" t="str">
            <v>Prime</v>
          </cell>
          <cell r="W33" t="str">
            <v>Prime</v>
          </cell>
          <cell r="X33" t="str">
            <v>Prime</v>
          </cell>
          <cell r="Y33" t="str">
            <v>Prime</v>
          </cell>
          <cell r="Z33" t="str">
            <v>Non-Prime</v>
          </cell>
          <cell r="AA33" t="str">
            <v>Non-Prime</v>
          </cell>
          <cell r="AB33" t="str">
            <v>Non-Prime</v>
          </cell>
          <cell r="AC33" t="str">
            <v>Non-Prime</v>
          </cell>
          <cell r="AD33" t="str">
            <v>Non-Prime</v>
          </cell>
          <cell r="AE33" t="str">
            <v>Non-Prime</v>
          </cell>
          <cell r="AF33" t="str">
            <v>Non-Prime</v>
          </cell>
        </row>
        <row r="34">
          <cell r="A34" t="str">
            <v>Bolivia</v>
          </cell>
          <cell r="B34" t="str">
            <v>Non-Prime</v>
          </cell>
          <cell r="C34" t="str">
            <v>Non-Prime</v>
          </cell>
          <cell r="D34" t="str">
            <v>Non-Prime</v>
          </cell>
          <cell r="E34" t="str">
            <v>Non-Prime</v>
          </cell>
          <cell r="F34" t="str">
            <v>Non-Prime</v>
          </cell>
          <cell r="G34" t="str">
            <v>Non-Prime</v>
          </cell>
          <cell r="H34" t="str">
            <v>Non-Prime</v>
          </cell>
          <cell r="I34" t="str">
            <v>Non-Prime</v>
          </cell>
          <cell r="J34" t="str">
            <v>Non-Prime</v>
          </cell>
          <cell r="K34" t="str">
            <v>Non-Prime</v>
          </cell>
          <cell r="L34" t="str">
            <v>Non-Prime</v>
          </cell>
          <cell r="M34" t="str">
            <v>Non-Prime</v>
          </cell>
          <cell r="N34" t="str">
            <v>Non-Prime</v>
          </cell>
          <cell r="O34" t="str">
            <v>Non-Prime</v>
          </cell>
          <cell r="P34" t="str">
            <v>Non-Prime</v>
          </cell>
          <cell r="Q34" t="str">
            <v>Non-Prime</v>
          </cell>
          <cell r="R34" t="str">
            <v>Non-Prime</v>
          </cell>
          <cell r="S34" t="str">
            <v>Non-Prime</v>
          </cell>
          <cell r="T34" t="str">
            <v>Non-Prime</v>
          </cell>
          <cell r="U34" t="str">
            <v>Non-Prime</v>
          </cell>
          <cell r="V34" t="str">
            <v>Prime</v>
          </cell>
          <cell r="W34" t="str">
            <v>Prime</v>
          </cell>
          <cell r="X34" t="str">
            <v>Prime</v>
          </cell>
          <cell r="Y34" t="str">
            <v>Prime</v>
          </cell>
          <cell r="Z34" t="str">
            <v>Non-Prime</v>
          </cell>
          <cell r="AA34" t="str">
            <v>Non-Prime</v>
          </cell>
          <cell r="AB34" t="str">
            <v>Non-Prime</v>
          </cell>
          <cell r="AC34" t="str">
            <v>Non-Prime</v>
          </cell>
          <cell r="AD34" t="str">
            <v>Non-Prime</v>
          </cell>
          <cell r="AE34" t="str">
            <v>Non-Prime</v>
          </cell>
          <cell r="AF34" t="str">
            <v>Non-Prime</v>
          </cell>
        </row>
        <row r="35">
          <cell r="A35" t="str">
            <v>Bonaire</v>
          </cell>
          <cell r="B35" t="str">
            <v>Non-Prime</v>
          </cell>
          <cell r="C35" t="str">
            <v>Non-Prime</v>
          </cell>
          <cell r="D35" t="str">
            <v>Non-Prime</v>
          </cell>
          <cell r="E35" t="str">
            <v>Non-Prime</v>
          </cell>
          <cell r="F35" t="str">
            <v>Non-Prime</v>
          </cell>
          <cell r="G35" t="str">
            <v>Non-Prime</v>
          </cell>
          <cell r="H35" t="str">
            <v>Non-Prime</v>
          </cell>
          <cell r="I35" t="str">
            <v>Non-Prime</v>
          </cell>
          <cell r="J35" t="str">
            <v>Non-Prime</v>
          </cell>
          <cell r="K35" t="str">
            <v>Non-Prime</v>
          </cell>
          <cell r="L35" t="str">
            <v>Non-Prime</v>
          </cell>
          <cell r="M35" t="str">
            <v>Non-Prime</v>
          </cell>
          <cell r="N35" t="str">
            <v>Non-Prime</v>
          </cell>
          <cell r="O35" t="str">
            <v>Non-Prime</v>
          </cell>
          <cell r="P35" t="str">
            <v>Non-Prime</v>
          </cell>
          <cell r="Q35" t="str">
            <v>Non-Prime</v>
          </cell>
          <cell r="R35" t="str">
            <v>Non-Prime</v>
          </cell>
          <cell r="S35" t="str">
            <v>Non-Prime</v>
          </cell>
          <cell r="T35" t="str">
            <v>Non-Prime</v>
          </cell>
          <cell r="U35" t="str">
            <v>Non-Prime</v>
          </cell>
          <cell r="V35" t="str">
            <v>Prime</v>
          </cell>
          <cell r="W35" t="str">
            <v>Prime</v>
          </cell>
          <cell r="X35" t="str">
            <v>Prime</v>
          </cell>
          <cell r="Y35" t="str">
            <v>Prime</v>
          </cell>
          <cell r="Z35" t="str">
            <v>Non-Prime</v>
          </cell>
          <cell r="AA35" t="str">
            <v>Non-Prime</v>
          </cell>
          <cell r="AB35" t="str">
            <v>Non-Prime</v>
          </cell>
          <cell r="AC35" t="str">
            <v>Non-Prime</v>
          </cell>
          <cell r="AD35" t="str">
            <v>Non-Prime</v>
          </cell>
          <cell r="AE35" t="str">
            <v>Non-Prime</v>
          </cell>
          <cell r="AF35" t="str">
            <v>Non-Prime</v>
          </cell>
        </row>
        <row r="36">
          <cell r="A36" t="str">
            <v>Bosnia and Herzegovina</v>
          </cell>
          <cell r="B36" t="str">
            <v>Non-Prime</v>
          </cell>
          <cell r="C36" t="str">
            <v>Non-Prime</v>
          </cell>
          <cell r="D36" t="str">
            <v>Non-Prime</v>
          </cell>
          <cell r="E36" t="str">
            <v>Non-Prime</v>
          </cell>
          <cell r="F36" t="str">
            <v>Non-Prime</v>
          </cell>
          <cell r="G36" t="str">
            <v>Non-Prime</v>
          </cell>
          <cell r="H36" t="str">
            <v>Non-Prime</v>
          </cell>
          <cell r="I36" t="str">
            <v>Non-Prime</v>
          </cell>
          <cell r="J36" t="str">
            <v>Non-Prime</v>
          </cell>
          <cell r="K36" t="str">
            <v>Non-Prime</v>
          </cell>
          <cell r="L36" t="str">
            <v>Non-Prime</v>
          </cell>
          <cell r="M36" t="str">
            <v>Non-Prime</v>
          </cell>
          <cell r="N36" t="str">
            <v>Non-Prime</v>
          </cell>
          <cell r="O36" t="str">
            <v>Non-Prime</v>
          </cell>
          <cell r="P36" t="str">
            <v>Non-Prime</v>
          </cell>
          <cell r="Q36" t="str">
            <v>Non-Prime</v>
          </cell>
          <cell r="R36" t="str">
            <v>Non-Prime</v>
          </cell>
          <cell r="S36" t="str">
            <v>Non-Prime</v>
          </cell>
          <cell r="T36" t="str">
            <v>Non-Prime</v>
          </cell>
          <cell r="U36" t="str">
            <v>Prime</v>
          </cell>
          <cell r="V36" t="str">
            <v>Prime</v>
          </cell>
          <cell r="W36" t="str">
            <v>Prime</v>
          </cell>
          <cell r="X36" t="str">
            <v>Prime</v>
          </cell>
          <cell r="Y36" t="str">
            <v>Non-Prime</v>
          </cell>
          <cell r="Z36" t="str">
            <v>Non-Prime</v>
          </cell>
          <cell r="AA36" t="str">
            <v>Non-Prime</v>
          </cell>
          <cell r="AB36" t="str">
            <v>Non-Prime</v>
          </cell>
          <cell r="AC36" t="str">
            <v>Non-Prime</v>
          </cell>
          <cell r="AD36" t="str">
            <v>Non-Prime</v>
          </cell>
          <cell r="AE36" t="str">
            <v>Non-Prime</v>
          </cell>
          <cell r="AF36" t="str">
            <v>Non-Prime</v>
          </cell>
        </row>
        <row r="37">
          <cell r="A37" t="str">
            <v>Botswana</v>
          </cell>
          <cell r="B37" t="str">
            <v>Non-Prime</v>
          </cell>
          <cell r="C37" t="str">
            <v>Non-Prime</v>
          </cell>
          <cell r="D37" t="str">
            <v>Non-Prime</v>
          </cell>
          <cell r="E37" t="str">
            <v>Non-Prime</v>
          </cell>
          <cell r="F37" t="str">
            <v>Non-Prime</v>
          </cell>
          <cell r="G37" t="str">
            <v>Non-Prime</v>
          </cell>
          <cell r="H37" t="str">
            <v>Non-Prime</v>
          </cell>
          <cell r="I37" t="str">
            <v>Non-Prime</v>
          </cell>
          <cell r="J37" t="str">
            <v>Non-Prime</v>
          </cell>
          <cell r="K37" t="str">
            <v>Non-Prime</v>
          </cell>
          <cell r="L37" t="str">
            <v>Non-Prime</v>
          </cell>
          <cell r="M37" t="str">
            <v>Non-Prime</v>
          </cell>
          <cell r="N37" t="str">
            <v>Non-Prime</v>
          </cell>
          <cell r="O37" t="str">
            <v>Non-Prime</v>
          </cell>
          <cell r="P37" t="str">
            <v>Non-Prime</v>
          </cell>
          <cell r="Q37" t="str">
            <v>Non-Prime</v>
          </cell>
          <cell r="R37" t="str">
            <v>Non-Prime</v>
          </cell>
          <cell r="S37" t="str">
            <v>Non-Prime</v>
          </cell>
          <cell r="T37" t="str">
            <v>Prime</v>
          </cell>
          <cell r="U37" t="str">
            <v>Prime</v>
          </cell>
          <cell r="V37" t="str">
            <v>Prime</v>
          </cell>
          <cell r="W37" t="str">
            <v>Prime</v>
          </cell>
          <cell r="X37" t="str">
            <v>Prime</v>
          </cell>
          <cell r="Y37" t="str">
            <v>Prime</v>
          </cell>
          <cell r="Z37" t="str">
            <v>Non-Prime</v>
          </cell>
          <cell r="AA37" t="str">
            <v>Non-Prime</v>
          </cell>
          <cell r="AB37" t="str">
            <v>Non-Prime</v>
          </cell>
          <cell r="AC37" t="str">
            <v>Non-Prime</v>
          </cell>
          <cell r="AD37" t="str">
            <v>Non-Prime</v>
          </cell>
          <cell r="AE37" t="str">
            <v>Non-Prime</v>
          </cell>
          <cell r="AF37" t="str">
            <v>Non-Prime</v>
          </cell>
        </row>
        <row r="38">
          <cell r="A38" t="str">
            <v>Brazil</v>
          </cell>
          <cell r="B38" t="str">
            <v>Non-Prime</v>
          </cell>
          <cell r="C38" t="str">
            <v>Non-Prime</v>
          </cell>
          <cell r="D38" t="str">
            <v>Non-Prime</v>
          </cell>
          <cell r="E38" t="str">
            <v>Non-Prime</v>
          </cell>
          <cell r="F38" t="str">
            <v>Non-Prime</v>
          </cell>
          <cell r="G38" t="str">
            <v>Non-Prime</v>
          </cell>
          <cell r="H38" t="str">
            <v>Non-Prime</v>
          </cell>
          <cell r="I38" t="str">
            <v>Non-Prime</v>
          </cell>
          <cell r="J38" t="str">
            <v>Non-Prime</v>
          </cell>
          <cell r="K38" t="str">
            <v>Non-Prime</v>
          </cell>
          <cell r="L38" t="str">
            <v>Non-Prime</v>
          </cell>
          <cell r="M38" t="str">
            <v>Non-Prime</v>
          </cell>
          <cell r="N38" t="str">
            <v>Non-Prime</v>
          </cell>
          <cell r="O38" t="str">
            <v>Non-Prime</v>
          </cell>
          <cell r="P38" t="str">
            <v>Non-Prime</v>
          </cell>
          <cell r="Q38" t="str">
            <v>Non-Prime</v>
          </cell>
          <cell r="R38" t="str">
            <v>Non-Prime</v>
          </cell>
          <cell r="S38" t="str">
            <v>Non-Prime</v>
          </cell>
          <cell r="T38" t="str">
            <v>Non-Prime</v>
          </cell>
          <cell r="U38" t="str">
            <v>Non-Prime</v>
          </cell>
          <cell r="V38" t="str">
            <v>Prime</v>
          </cell>
          <cell r="W38" t="str">
            <v>Prime</v>
          </cell>
          <cell r="X38" t="str">
            <v>Prime</v>
          </cell>
          <cell r="Y38" t="str">
            <v>Prime</v>
          </cell>
          <cell r="Z38" t="str">
            <v>Non-Prime</v>
          </cell>
          <cell r="AA38" t="str">
            <v>Non-Prime</v>
          </cell>
          <cell r="AB38" t="str">
            <v>Non-Prime</v>
          </cell>
          <cell r="AC38" t="str">
            <v>Non-Prime</v>
          </cell>
          <cell r="AD38" t="str">
            <v>Non-Prime</v>
          </cell>
          <cell r="AE38" t="str">
            <v>Non-Prime</v>
          </cell>
          <cell r="AF38" t="str">
            <v>Non-Prime</v>
          </cell>
        </row>
        <row r="39">
          <cell r="A39" t="str">
            <v>British Virgin Islands</v>
          </cell>
          <cell r="B39" t="str">
            <v>Non-Prime</v>
          </cell>
          <cell r="C39" t="str">
            <v>Non-Prime</v>
          </cell>
          <cell r="D39" t="str">
            <v>Non-Prime</v>
          </cell>
          <cell r="E39" t="str">
            <v>Non-Prime</v>
          </cell>
          <cell r="F39" t="str">
            <v>Non-Prime</v>
          </cell>
          <cell r="G39" t="str">
            <v>Non-Prime</v>
          </cell>
          <cell r="H39" t="str">
            <v>Non-Prime</v>
          </cell>
          <cell r="I39" t="str">
            <v>Non-Prime</v>
          </cell>
          <cell r="J39" t="str">
            <v>Non-Prime</v>
          </cell>
          <cell r="K39" t="str">
            <v>Non-Prime</v>
          </cell>
          <cell r="L39" t="str">
            <v>Non-Prime</v>
          </cell>
          <cell r="M39" t="str">
            <v>Non-Prime</v>
          </cell>
          <cell r="N39" t="str">
            <v>Non-Prime</v>
          </cell>
          <cell r="O39" t="str">
            <v>Non-Prime</v>
          </cell>
          <cell r="P39" t="str">
            <v>Non-Prime</v>
          </cell>
          <cell r="Q39" t="str">
            <v>Non-Prime</v>
          </cell>
          <cell r="R39" t="str">
            <v>Non-Prime</v>
          </cell>
          <cell r="S39" t="str">
            <v>Non-Prime</v>
          </cell>
          <cell r="T39" t="str">
            <v>Non-Prime</v>
          </cell>
          <cell r="U39" t="str">
            <v>Non-Prime</v>
          </cell>
          <cell r="V39" t="str">
            <v>Prime</v>
          </cell>
          <cell r="W39" t="str">
            <v>Prime</v>
          </cell>
          <cell r="X39" t="str">
            <v>Prime</v>
          </cell>
          <cell r="Y39" t="str">
            <v>Prime</v>
          </cell>
          <cell r="Z39" t="str">
            <v>Non-Prime</v>
          </cell>
          <cell r="AA39" t="str">
            <v>Non-Prime</v>
          </cell>
          <cell r="AB39" t="str">
            <v>Non-Prime</v>
          </cell>
          <cell r="AC39" t="str">
            <v>Non-Prime</v>
          </cell>
          <cell r="AD39" t="str">
            <v>Non-Prime</v>
          </cell>
          <cell r="AE39" t="str">
            <v>Non-Prime</v>
          </cell>
          <cell r="AF39" t="str">
            <v>Non-Prime</v>
          </cell>
        </row>
        <row r="40">
          <cell r="A40" t="str">
            <v>Brunei</v>
          </cell>
          <cell r="B40" t="str">
            <v>Non-Prime</v>
          </cell>
          <cell r="C40" t="str">
            <v>Non-Prime</v>
          </cell>
          <cell r="D40" t="str">
            <v>Non-Prime</v>
          </cell>
          <cell r="E40" t="str">
            <v>Non-Prime</v>
          </cell>
          <cell r="F40" t="str">
            <v>Non-Prime</v>
          </cell>
          <cell r="G40" t="str">
            <v>Non-Prime</v>
          </cell>
          <cell r="H40" t="str">
            <v>Non-Prime</v>
          </cell>
          <cell r="I40" t="str">
            <v>Non-Prime</v>
          </cell>
          <cell r="J40" t="str">
            <v>Non-Prime</v>
          </cell>
          <cell r="K40" t="str">
            <v>Non-Prime</v>
          </cell>
          <cell r="L40" t="str">
            <v>Non-Prime</v>
          </cell>
          <cell r="M40" t="str">
            <v>Non-Prime</v>
          </cell>
          <cell r="N40" t="str">
            <v>Non-Prime</v>
          </cell>
          <cell r="O40" t="str">
            <v>Non-Prime</v>
          </cell>
          <cell r="P40" t="str">
            <v>Non-Prime</v>
          </cell>
          <cell r="Q40" t="str">
            <v>Non-Prime</v>
          </cell>
          <cell r="R40" t="str">
            <v>Non-Prime</v>
          </cell>
          <cell r="S40" t="str">
            <v>Non-Prime</v>
          </cell>
          <cell r="T40" t="str">
            <v>Non-Prime</v>
          </cell>
          <cell r="U40" t="str">
            <v>Prime</v>
          </cell>
          <cell r="V40" t="str">
            <v>Prime</v>
          </cell>
          <cell r="W40" t="str">
            <v>Prime</v>
          </cell>
          <cell r="X40" t="str">
            <v>Prime</v>
          </cell>
          <cell r="Y40" t="str">
            <v>Non-Prime</v>
          </cell>
          <cell r="Z40" t="str">
            <v>Non-Prime</v>
          </cell>
          <cell r="AA40" t="str">
            <v>Non-Prime</v>
          </cell>
          <cell r="AB40" t="str">
            <v>Non-Prime</v>
          </cell>
          <cell r="AC40" t="str">
            <v>Non-Prime</v>
          </cell>
          <cell r="AD40" t="str">
            <v>Non-Prime</v>
          </cell>
          <cell r="AE40" t="str">
            <v>Non-Prime</v>
          </cell>
          <cell r="AF40" t="str">
            <v>Non-Prime</v>
          </cell>
        </row>
        <row r="41">
          <cell r="A41" t="str">
            <v>Bulgaria</v>
          </cell>
          <cell r="B41" t="str">
            <v>Non-Prime</v>
          </cell>
          <cell r="C41" t="str">
            <v>Non-Prime</v>
          </cell>
          <cell r="D41" t="str">
            <v>Non-Prime</v>
          </cell>
          <cell r="E41" t="str">
            <v>Non-Prime</v>
          </cell>
          <cell r="F41" t="str">
            <v>Non-Prime</v>
          </cell>
          <cell r="G41" t="str">
            <v>Non-Prime</v>
          </cell>
          <cell r="H41" t="str">
            <v>Non-Prime</v>
          </cell>
          <cell r="I41" t="str">
            <v>Non-Prime</v>
          </cell>
          <cell r="J41" t="str">
            <v>Non-Prime</v>
          </cell>
          <cell r="K41" t="str">
            <v>Non-Prime</v>
          </cell>
          <cell r="L41" t="str">
            <v>Non-Prime</v>
          </cell>
          <cell r="M41" t="str">
            <v>Non-Prime</v>
          </cell>
          <cell r="N41" t="str">
            <v>Non-Prime</v>
          </cell>
          <cell r="O41" t="str">
            <v>Non-Prime</v>
          </cell>
          <cell r="P41" t="str">
            <v>Non-Prime</v>
          </cell>
          <cell r="Q41" t="str">
            <v>Non-Prime</v>
          </cell>
          <cell r="R41" t="str">
            <v>Non-Prime</v>
          </cell>
          <cell r="S41" t="str">
            <v>Non-Prime</v>
          </cell>
          <cell r="T41" t="str">
            <v>Prime</v>
          </cell>
          <cell r="U41" t="str">
            <v>Prime</v>
          </cell>
          <cell r="V41" t="str">
            <v>Prime</v>
          </cell>
          <cell r="W41" t="str">
            <v>Prime</v>
          </cell>
          <cell r="X41" t="str">
            <v>Prime</v>
          </cell>
          <cell r="Y41" t="str">
            <v>Prime</v>
          </cell>
          <cell r="Z41" t="str">
            <v>Non-Prime</v>
          </cell>
          <cell r="AA41" t="str">
            <v>Non-Prime</v>
          </cell>
          <cell r="AB41" t="str">
            <v>Non-Prime</v>
          </cell>
          <cell r="AC41" t="str">
            <v>Non-Prime</v>
          </cell>
          <cell r="AD41" t="str">
            <v>Non-Prime</v>
          </cell>
          <cell r="AE41" t="str">
            <v>Non-Prime</v>
          </cell>
          <cell r="AF41" t="str">
            <v>Non-Prime</v>
          </cell>
        </row>
        <row r="42">
          <cell r="A42" t="str">
            <v>Burkina Faso</v>
          </cell>
          <cell r="B42" t="str">
            <v>Non-Prime</v>
          </cell>
          <cell r="C42" t="str">
            <v>Non-Prime</v>
          </cell>
          <cell r="D42" t="str">
            <v>Non-Prime</v>
          </cell>
          <cell r="E42" t="str">
            <v>Non-Prime</v>
          </cell>
          <cell r="F42" t="str">
            <v>Non-Prime</v>
          </cell>
          <cell r="G42" t="str">
            <v>Non-Prime</v>
          </cell>
          <cell r="H42" t="str">
            <v>Non-Prime</v>
          </cell>
          <cell r="I42" t="str">
            <v>Non-Prime</v>
          </cell>
          <cell r="J42" t="str">
            <v>Non-Prime</v>
          </cell>
          <cell r="K42" t="str">
            <v>Non-Prime</v>
          </cell>
          <cell r="L42" t="str">
            <v>Non-Prime</v>
          </cell>
          <cell r="M42" t="str">
            <v>Non-Prime</v>
          </cell>
          <cell r="N42" t="str">
            <v>Non-Prime</v>
          </cell>
          <cell r="O42" t="str">
            <v>Non-Prime</v>
          </cell>
          <cell r="P42" t="str">
            <v>Non-Prime</v>
          </cell>
          <cell r="Q42" t="str">
            <v>Non-Prime</v>
          </cell>
          <cell r="R42" t="str">
            <v>Non-Prime</v>
          </cell>
          <cell r="S42" t="str">
            <v>Non-Prime</v>
          </cell>
          <cell r="T42" t="str">
            <v>Prime</v>
          </cell>
          <cell r="U42" t="str">
            <v>Prime</v>
          </cell>
          <cell r="V42" t="str">
            <v>Prime</v>
          </cell>
          <cell r="W42" t="str">
            <v>Prime</v>
          </cell>
          <cell r="X42" t="str">
            <v>Prime</v>
          </cell>
          <cell r="Y42" t="str">
            <v>Prime</v>
          </cell>
          <cell r="Z42" t="str">
            <v>Non-Prime</v>
          </cell>
          <cell r="AA42" t="str">
            <v>Non-Prime</v>
          </cell>
          <cell r="AB42" t="str">
            <v>Non-Prime</v>
          </cell>
          <cell r="AC42" t="str">
            <v>Non-Prime</v>
          </cell>
          <cell r="AD42" t="str">
            <v>Non-Prime</v>
          </cell>
          <cell r="AE42" t="str">
            <v>Non-Prime</v>
          </cell>
          <cell r="AF42" t="str">
            <v>Non-Prime</v>
          </cell>
        </row>
        <row r="43">
          <cell r="A43" t="str">
            <v>Burundi</v>
          </cell>
          <cell r="B43" t="str">
            <v>Non-Prime</v>
          </cell>
          <cell r="C43" t="str">
            <v>Non-Prime</v>
          </cell>
          <cell r="D43" t="str">
            <v>Non-Prime</v>
          </cell>
          <cell r="E43" t="str">
            <v>Non-Prime</v>
          </cell>
          <cell r="F43" t="str">
            <v>Non-Prime</v>
          </cell>
          <cell r="G43" t="str">
            <v>Non-Prime</v>
          </cell>
          <cell r="H43" t="str">
            <v>Non-Prime</v>
          </cell>
          <cell r="I43" t="str">
            <v>Non-Prime</v>
          </cell>
          <cell r="J43" t="str">
            <v>Non-Prime</v>
          </cell>
          <cell r="K43" t="str">
            <v>Non-Prime</v>
          </cell>
          <cell r="L43" t="str">
            <v>Non-Prime</v>
          </cell>
          <cell r="M43" t="str">
            <v>Non-Prime</v>
          </cell>
          <cell r="N43" t="str">
            <v>Non-Prime</v>
          </cell>
          <cell r="O43" t="str">
            <v>Non-Prime</v>
          </cell>
          <cell r="P43" t="str">
            <v>Non-Prime</v>
          </cell>
          <cell r="Q43" t="str">
            <v>Non-Prime</v>
          </cell>
          <cell r="R43" t="str">
            <v>Non-Prime</v>
          </cell>
          <cell r="S43" t="str">
            <v>Non-Prime</v>
          </cell>
          <cell r="T43" t="str">
            <v>Prime</v>
          </cell>
          <cell r="U43" t="str">
            <v>Prime</v>
          </cell>
          <cell r="V43" t="str">
            <v>Prime</v>
          </cell>
          <cell r="W43" t="str">
            <v>Prime</v>
          </cell>
          <cell r="X43" t="str">
            <v>Prime</v>
          </cell>
          <cell r="Y43" t="str">
            <v>Prime</v>
          </cell>
          <cell r="Z43" t="str">
            <v>Non-Prime</v>
          </cell>
          <cell r="AA43" t="str">
            <v>Non-Prime</v>
          </cell>
          <cell r="AB43" t="str">
            <v>Non-Prime</v>
          </cell>
          <cell r="AC43" t="str">
            <v>Non-Prime</v>
          </cell>
          <cell r="AD43" t="str">
            <v>Non-Prime</v>
          </cell>
          <cell r="AE43" t="str">
            <v>Non-Prime</v>
          </cell>
          <cell r="AF43" t="str">
            <v>Non-Prime</v>
          </cell>
        </row>
        <row r="44">
          <cell r="A44" t="str">
            <v>Cambodia</v>
          </cell>
          <cell r="B44" t="str">
            <v>Non-Prime</v>
          </cell>
          <cell r="C44" t="str">
            <v>Non-Prime</v>
          </cell>
          <cell r="D44" t="str">
            <v>Non-Prime</v>
          </cell>
          <cell r="E44" t="str">
            <v>Non-Prime</v>
          </cell>
          <cell r="F44" t="str">
            <v>Non-Prime</v>
          </cell>
          <cell r="G44" t="str">
            <v>Non-Prime</v>
          </cell>
          <cell r="H44" t="str">
            <v>Non-Prime</v>
          </cell>
          <cell r="I44" t="str">
            <v>Non-Prime</v>
          </cell>
          <cell r="J44" t="str">
            <v>Non-Prime</v>
          </cell>
          <cell r="K44" t="str">
            <v>Non-Prime</v>
          </cell>
          <cell r="L44" t="str">
            <v>Non-Prime</v>
          </cell>
          <cell r="M44" t="str">
            <v>Non-Prime</v>
          </cell>
          <cell r="N44" t="str">
            <v>Non-Prime</v>
          </cell>
          <cell r="O44" t="str">
            <v>Non-Prime</v>
          </cell>
          <cell r="P44" t="str">
            <v>Non-Prime</v>
          </cell>
          <cell r="Q44" t="str">
            <v>Non-Prime</v>
          </cell>
          <cell r="R44" t="str">
            <v>Non-Prime</v>
          </cell>
          <cell r="S44" t="str">
            <v>Non-Prime</v>
          </cell>
          <cell r="T44" t="str">
            <v>Prime</v>
          </cell>
          <cell r="U44" t="str">
            <v>Prime</v>
          </cell>
          <cell r="V44" t="str">
            <v>Prime</v>
          </cell>
          <cell r="W44" t="str">
            <v>Prime</v>
          </cell>
          <cell r="X44" t="str">
            <v>Prime</v>
          </cell>
          <cell r="Y44" t="str">
            <v>Prime</v>
          </cell>
          <cell r="Z44" t="str">
            <v>Non-Prime</v>
          </cell>
          <cell r="AA44" t="str">
            <v>Non-Prime</v>
          </cell>
          <cell r="AB44" t="str">
            <v>Non-Prime</v>
          </cell>
          <cell r="AC44" t="str">
            <v>Non-Prime</v>
          </cell>
          <cell r="AD44" t="str">
            <v>Non-Prime</v>
          </cell>
          <cell r="AE44" t="str">
            <v>Non-Prime</v>
          </cell>
          <cell r="AF44" t="str">
            <v>Non-Prime</v>
          </cell>
        </row>
        <row r="45">
          <cell r="A45" t="str">
            <v>Cameroon</v>
          </cell>
          <cell r="B45" t="str">
            <v>Non-Prime</v>
          </cell>
          <cell r="C45" t="str">
            <v>Non-Prime</v>
          </cell>
          <cell r="D45" t="str">
            <v>Non-Prime</v>
          </cell>
          <cell r="E45" t="str">
            <v>Non-Prime</v>
          </cell>
          <cell r="F45" t="str">
            <v>Non-Prime</v>
          </cell>
          <cell r="G45" t="str">
            <v>Non-Prime</v>
          </cell>
          <cell r="H45" t="str">
            <v>Non-Prime</v>
          </cell>
          <cell r="I45" t="str">
            <v>Non-Prime</v>
          </cell>
          <cell r="J45" t="str">
            <v>Non-Prime</v>
          </cell>
          <cell r="K45" t="str">
            <v>Non-Prime</v>
          </cell>
          <cell r="L45" t="str">
            <v>Non-Prime</v>
          </cell>
          <cell r="M45" t="str">
            <v>Non-Prime</v>
          </cell>
          <cell r="N45" t="str">
            <v>Non-Prime</v>
          </cell>
          <cell r="O45" t="str">
            <v>Non-Prime</v>
          </cell>
          <cell r="P45" t="str">
            <v>Non-Prime</v>
          </cell>
          <cell r="Q45" t="str">
            <v>Non-Prime</v>
          </cell>
          <cell r="R45" t="str">
            <v>Non-Prime</v>
          </cell>
          <cell r="S45" t="str">
            <v>Non-Prime</v>
          </cell>
          <cell r="T45" t="str">
            <v>Prime</v>
          </cell>
          <cell r="U45" t="str">
            <v>Prime</v>
          </cell>
          <cell r="V45" t="str">
            <v>Prime</v>
          </cell>
          <cell r="W45" t="str">
            <v>Prime</v>
          </cell>
          <cell r="X45" t="str">
            <v>Prime</v>
          </cell>
          <cell r="Y45" t="str">
            <v>Prime</v>
          </cell>
          <cell r="Z45" t="str">
            <v>Non-Prime</v>
          </cell>
          <cell r="AA45" t="str">
            <v>Non-Prime</v>
          </cell>
          <cell r="AB45" t="str">
            <v>Non-Prime</v>
          </cell>
          <cell r="AC45" t="str">
            <v>Non-Prime</v>
          </cell>
          <cell r="AD45" t="str">
            <v>Non-Prime</v>
          </cell>
          <cell r="AE45" t="str">
            <v>Non-Prime</v>
          </cell>
          <cell r="AF45" t="str">
            <v>Non-Prime</v>
          </cell>
        </row>
        <row r="46">
          <cell r="A46" t="str">
            <v>Canada</v>
          </cell>
          <cell r="B46" t="str">
            <v>Non-Prime</v>
          </cell>
          <cell r="C46" t="str">
            <v>Non-Prime</v>
          </cell>
          <cell r="D46" t="str">
            <v>Non-Prime</v>
          </cell>
          <cell r="E46" t="str">
            <v>Non-Prime</v>
          </cell>
          <cell r="F46" t="str">
            <v>Non-Prime</v>
          </cell>
          <cell r="G46" t="str">
            <v>Non-Prime</v>
          </cell>
          <cell r="H46" t="str">
            <v>Non-Prime</v>
          </cell>
          <cell r="I46" t="str">
            <v>Non-Prime</v>
          </cell>
          <cell r="J46" t="str">
            <v>Non-Prime</v>
          </cell>
          <cell r="K46" t="str">
            <v>Non-Prime</v>
          </cell>
          <cell r="L46" t="str">
            <v>Non-Prime</v>
          </cell>
          <cell r="M46" t="str">
            <v>Non-Prime</v>
          </cell>
          <cell r="N46" t="str">
            <v>Non-Prime</v>
          </cell>
          <cell r="O46" t="str">
            <v>Non-Prime</v>
          </cell>
          <cell r="P46" t="str">
            <v>Non-Prime</v>
          </cell>
          <cell r="Q46" t="str">
            <v>Non-Prime</v>
          </cell>
          <cell r="R46" t="str">
            <v>Non-Prime</v>
          </cell>
          <cell r="S46" t="str">
            <v>Non-Prime</v>
          </cell>
          <cell r="T46" t="str">
            <v>Prime</v>
          </cell>
          <cell r="U46" t="str">
            <v>Prime</v>
          </cell>
          <cell r="V46" t="str">
            <v>Prime</v>
          </cell>
          <cell r="W46" t="str">
            <v>Prime</v>
          </cell>
          <cell r="X46" t="str">
            <v>Prime</v>
          </cell>
          <cell r="Y46" t="str">
            <v>Prime</v>
          </cell>
          <cell r="Z46" t="str">
            <v>Non-Prime</v>
          </cell>
          <cell r="AA46" t="str">
            <v>Non-Prime</v>
          </cell>
          <cell r="AB46" t="str">
            <v>Non-Prime</v>
          </cell>
          <cell r="AC46" t="str">
            <v>Non-Prime</v>
          </cell>
          <cell r="AD46" t="str">
            <v>Non-Prime</v>
          </cell>
          <cell r="AE46" t="str">
            <v>Non-Prime</v>
          </cell>
          <cell r="AF46" t="str">
            <v>Non-Prime</v>
          </cell>
        </row>
        <row r="47">
          <cell r="A47" t="str">
            <v>Chile</v>
          </cell>
          <cell r="B47" t="str">
            <v>Non-Prime</v>
          </cell>
          <cell r="C47" t="str">
            <v>Non-Prime</v>
          </cell>
          <cell r="D47" t="str">
            <v>Non-Prime</v>
          </cell>
          <cell r="E47" t="str">
            <v>Non-Prime</v>
          </cell>
          <cell r="F47" t="str">
            <v>Non-Prime</v>
          </cell>
          <cell r="G47" t="str">
            <v>Non-Prime</v>
          </cell>
          <cell r="H47" t="str">
            <v>Non-Prime</v>
          </cell>
          <cell r="I47" t="str">
            <v>Non-Prime</v>
          </cell>
          <cell r="J47" t="str">
            <v>Non-Prime</v>
          </cell>
          <cell r="K47" t="str">
            <v>Non-Prime</v>
          </cell>
          <cell r="L47" t="str">
            <v>Non-Prime</v>
          </cell>
          <cell r="M47" t="str">
            <v>Non-Prime</v>
          </cell>
          <cell r="N47" t="str">
            <v>Non-Prime</v>
          </cell>
          <cell r="O47" t="str">
            <v>Non-Prime</v>
          </cell>
          <cell r="P47" t="str">
            <v>Non-Prime</v>
          </cell>
          <cell r="Q47" t="str">
            <v>Non-Prime</v>
          </cell>
          <cell r="R47" t="str">
            <v>Non-Prime</v>
          </cell>
          <cell r="S47" t="str">
            <v>Non-Prime</v>
          </cell>
          <cell r="T47" t="str">
            <v>Prime</v>
          </cell>
          <cell r="U47" t="str">
            <v>Prime</v>
          </cell>
          <cell r="V47" t="str">
            <v>Prime</v>
          </cell>
          <cell r="W47" t="str">
            <v>Prime</v>
          </cell>
          <cell r="X47" t="str">
            <v>Prime</v>
          </cell>
          <cell r="Y47" t="str">
            <v>Prime</v>
          </cell>
          <cell r="Z47" t="str">
            <v>Non-Prime</v>
          </cell>
          <cell r="AA47" t="str">
            <v>Non-Prime</v>
          </cell>
          <cell r="AB47" t="str">
            <v>Non-Prime</v>
          </cell>
          <cell r="AC47" t="str">
            <v>Non-Prime</v>
          </cell>
          <cell r="AD47" t="str">
            <v>Non-Prime</v>
          </cell>
          <cell r="AE47" t="str">
            <v>Non-Prime</v>
          </cell>
          <cell r="AF47" t="str">
            <v>Non-Prime</v>
          </cell>
        </row>
        <row r="48">
          <cell r="A48" t="str">
            <v>China</v>
          </cell>
          <cell r="B48" t="str">
            <v>Non-Prime</v>
          </cell>
          <cell r="C48" t="str">
            <v>Non-Prime</v>
          </cell>
          <cell r="D48" t="str">
            <v>Non-Prime</v>
          </cell>
          <cell r="E48" t="str">
            <v>Non-Prime</v>
          </cell>
          <cell r="F48" t="str">
            <v>Non-Prime</v>
          </cell>
          <cell r="G48" t="str">
            <v>Non-Prime</v>
          </cell>
          <cell r="H48" t="str">
            <v>Non-Prime</v>
          </cell>
          <cell r="I48" t="str">
            <v>Non-Prime</v>
          </cell>
          <cell r="J48" t="str">
            <v>Non-Prime</v>
          </cell>
          <cell r="K48" t="str">
            <v>Non-Prime</v>
          </cell>
          <cell r="L48" t="str">
            <v>Non-Prime</v>
          </cell>
          <cell r="M48" t="str">
            <v>Non-Prime</v>
          </cell>
          <cell r="N48" t="str">
            <v>Non-Prime</v>
          </cell>
          <cell r="O48" t="str">
            <v>Non-Prime</v>
          </cell>
          <cell r="P48" t="str">
            <v>Non-Prime</v>
          </cell>
          <cell r="Q48" t="str">
            <v>Non-Prime</v>
          </cell>
          <cell r="R48" t="str">
            <v>Non-Prime</v>
          </cell>
          <cell r="S48" t="str">
            <v>Non-Prime</v>
          </cell>
          <cell r="T48" t="str">
            <v>Non-Prime</v>
          </cell>
          <cell r="U48" t="str">
            <v>Prime</v>
          </cell>
          <cell r="V48" t="str">
            <v>Prime</v>
          </cell>
          <cell r="W48" t="str">
            <v>Prime</v>
          </cell>
          <cell r="X48" t="str">
            <v>Non-Prime</v>
          </cell>
          <cell r="Y48" t="str">
            <v>Non-Prime</v>
          </cell>
          <cell r="Z48" t="str">
            <v>Non-Prime</v>
          </cell>
          <cell r="AA48" t="str">
            <v>Non-Prime</v>
          </cell>
          <cell r="AB48" t="str">
            <v>Non-Prime</v>
          </cell>
          <cell r="AC48" t="str">
            <v>Non-Prime</v>
          </cell>
          <cell r="AD48" t="str">
            <v>Non-Prime</v>
          </cell>
          <cell r="AE48" t="str">
            <v>Non-Prime</v>
          </cell>
          <cell r="AF48" t="str">
            <v>Non-Prime</v>
          </cell>
        </row>
        <row r="49">
          <cell r="A49" t="str">
            <v>Colombia</v>
          </cell>
          <cell r="B49" t="str">
            <v>Non-Prime</v>
          </cell>
          <cell r="C49" t="str">
            <v>Non-Prime</v>
          </cell>
          <cell r="D49" t="str">
            <v>Non-Prime</v>
          </cell>
          <cell r="E49" t="str">
            <v>Non-Prime</v>
          </cell>
          <cell r="F49" t="str">
            <v>Non-Prime</v>
          </cell>
          <cell r="G49" t="str">
            <v>Non-Prime</v>
          </cell>
          <cell r="H49" t="str">
            <v>Non-Prime</v>
          </cell>
          <cell r="I49" t="str">
            <v>Non-Prime</v>
          </cell>
          <cell r="J49" t="str">
            <v>Non-Prime</v>
          </cell>
          <cell r="K49" t="str">
            <v>Non-Prime</v>
          </cell>
          <cell r="L49" t="str">
            <v>Non-Prime</v>
          </cell>
          <cell r="M49" t="str">
            <v>Non-Prime</v>
          </cell>
          <cell r="N49" t="str">
            <v>Non-Prime</v>
          </cell>
          <cell r="O49" t="str">
            <v>Non-Prime</v>
          </cell>
          <cell r="P49" t="str">
            <v>Non-Prime</v>
          </cell>
          <cell r="Q49" t="str">
            <v>Non-Prime</v>
          </cell>
          <cell r="R49" t="str">
            <v>Non-Prime</v>
          </cell>
          <cell r="S49" t="str">
            <v>Non-Prime</v>
          </cell>
          <cell r="T49" t="str">
            <v>Prime</v>
          </cell>
          <cell r="U49" t="str">
            <v>Prime</v>
          </cell>
          <cell r="V49" t="str">
            <v>Prime</v>
          </cell>
          <cell r="W49" t="str">
            <v>Prime</v>
          </cell>
          <cell r="X49" t="str">
            <v>Prime</v>
          </cell>
          <cell r="Y49" t="str">
            <v>Prime</v>
          </cell>
          <cell r="Z49" t="str">
            <v>Non-Prime</v>
          </cell>
          <cell r="AA49" t="str">
            <v>Non-Prime</v>
          </cell>
          <cell r="AB49" t="str">
            <v>Non-Prime</v>
          </cell>
          <cell r="AC49" t="str">
            <v>Non-Prime</v>
          </cell>
          <cell r="AD49" t="str">
            <v>Non-Prime</v>
          </cell>
          <cell r="AE49" t="str">
            <v>Non-Prime</v>
          </cell>
          <cell r="AF49" t="str">
            <v>Non-Prime</v>
          </cell>
        </row>
        <row r="50">
          <cell r="A50" t="str">
            <v>Costa Rica</v>
          </cell>
          <cell r="B50" t="str">
            <v>Non-Prime</v>
          </cell>
          <cell r="C50" t="str">
            <v>Non-Prime</v>
          </cell>
          <cell r="D50" t="str">
            <v>Non-Prime</v>
          </cell>
          <cell r="E50" t="str">
            <v>Non-Prime</v>
          </cell>
          <cell r="F50" t="str">
            <v>Non-Prime</v>
          </cell>
          <cell r="G50" t="str">
            <v>Non-Prime</v>
          </cell>
          <cell r="H50" t="str">
            <v>Non-Prime</v>
          </cell>
          <cell r="I50" t="str">
            <v>Non-Prime</v>
          </cell>
          <cell r="J50" t="str">
            <v>Non-Prime</v>
          </cell>
          <cell r="K50" t="str">
            <v>Non-Prime</v>
          </cell>
          <cell r="L50" t="str">
            <v>Non-Prime</v>
          </cell>
          <cell r="M50" t="str">
            <v>Non-Prime</v>
          </cell>
          <cell r="N50" t="str">
            <v>Non-Prime</v>
          </cell>
          <cell r="O50" t="str">
            <v>Non-Prime</v>
          </cell>
          <cell r="P50" t="str">
            <v>Non-Prime</v>
          </cell>
          <cell r="Q50" t="str">
            <v>Non-Prime</v>
          </cell>
          <cell r="R50" t="str">
            <v>Non-Prime</v>
          </cell>
          <cell r="S50" t="str">
            <v>Non-Prime</v>
          </cell>
          <cell r="T50" t="str">
            <v>Prime</v>
          </cell>
          <cell r="U50" t="str">
            <v>Prime</v>
          </cell>
          <cell r="V50" t="str">
            <v>Prime</v>
          </cell>
          <cell r="W50" t="str">
            <v>Prime</v>
          </cell>
          <cell r="X50" t="str">
            <v>Prime</v>
          </cell>
          <cell r="Y50" t="str">
            <v>Prime</v>
          </cell>
          <cell r="Z50" t="str">
            <v>Non-Prime</v>
          </cell>
          <cell r="AA50" t="str">
            <v>Non-Prime</v>
          </cell>
          <cell r="AB50" t="str">
            <v>Non-Prime</v>
          </cell>
          <cell r="AC50" t="str">
            <v>Non-Prime</v>
          </cell>
          <cell r="AD50" t="str">
            <v>Non-Prime</v>
          </cell>
          <cell r="AE50" t="str">
            <v>Non-Prime</v>
          </cell>
          <cell r="AF50" t="str">
            <v>Non-Prime</v>
          </cell>
        </row>
        <row r="51">
          <cell r="A51" t="str">
            <v>Croatia</v>
          </cell>
          <cell r="B51" t="str">
            <v>Non-Prime</v>
          </cell>
          <cell r="C51" t="str">
            <v>Non-Prime</v>
          </cell>
          <cell r="D51" t="str">
            <v>Non-Prime</v>
          </cell>
          <cell r="E51" t="str">
            <v>Non-Prime</v>
          </cell>
          <cell r="F51" t="str">
            <v>Non-Prime</v>
          </cell>
          <cell r="G51" t="str">
            <v>Non-Prime</v>
          </cell>
          <cell r="H51" t="str">
            <v>Non-Prime</v>
          </cell>
          <cell r="I51" t="str">
            <v>Non-Prime</v>
          </cell>
          <cell r="J51" t="str">
            <v>Non-Prime</v>
          </cell>
          <cell r="K51" t="str">
            <v>Non-Prime</v>
          </cell>
          <cell r="L51" t="str">
            <v>Non-Prime</v>
          </cell>
          <cell r="M51" t="str">
            <v>Non-Prime</v>
          </cell>
          <cell r="N51" t="str">
            <v>Non-Prime</v>
          </cell>
          <cell r="O51" t="str">
            <v>Non-Prime</v>
          </cell>
          <cell r="P51" t="str">
            <v>Non-Prime</v>
          </cell>
          <cell r="Q51" t="str">
            <v>Non-Prime</v>
          </cell>
          <cell r="R51" t="str">
            <v>Non-Prime</v>
          </cell>
          <cell r="S51" t="str">
            <v>Non-Prime</v>
          </cell>
          <cell r="T51" t="str">
            <v>Non-Prime</v>
          </cell>
          <cell r="U51" t="str">
            <v>Prime</v>
          </cell>
          <cell r="V51" t="str">
            <v>Prime</v>
          </cell>
          <cell r="W51" t="str">
            <v>Prime</v>
          </cell>
          <cell r="X51" t="str">
            <v>Prime</v>
          </cell>
          <cell r="Y51" t="str">
            <v>Non-Prime</v>
          </cell>
          <cell r="Z51" t="str">
            <v>Non-Prime</v>
          </cell>
          <cell r="AA51" t="str">
            <v>Non-Prime</v>
          </cell>
          <cell r="AB51" t="str">
            <v>Non-Prime</v>
          </cell>
          <cell r="AC51" t="str">
            <v>Non-Prime</v>
          </cell>
          <cell r="AD51" t="str">
            <v>Non-Prime</v>
          </cell>
          <cell r="AE51" t="str">
            <v>Non-Prime</v>
          </cell>
          <cell r="AF51" t="str">
            <v>Non-Prime</v>
          </cell>
        </row>
        <row r="52">
          <cell r="A52" t="str">
            <v>Cuba</v>
          </cell>
          <cell r="B52" t="str">
            <v>Non-Prime</v>
          </cell>
          <cell r="C52" t="str">
            <v>Non-Prime</v>
          </cell>
          <cell r="D52" t="str">
            <v>Non-Prime</v>
          </cell>
          <cell r="E52" t="str">
            <v>Non-Prime</v>
          </cell>
          <cell r="F52" t="str">
            <v>Non-Prime</v>
          </cell>
          <cell r="G52" t="str">
            <v>Non-Prime</v>
          </cell>
          <cell r="H52" t="str">
            <v>Non-Prime</v>
          </cell>
          <cell r="I52" t="str">
            <v>Non-Prime</v>
          </cell>
          <cell r="J52" t="str">
            <v>Non-Prime</v>
          </cell>
          <cell r="K52" t="str">
            <v>Non-Prime</v>
          </cell>
          <cell r="L52" t="str">
            <v>Non-Prime</v>
          </cell>
          <cell r="M52" t="str">
            <v>Non-Prime</v>
          </cell>
          <cell r="N52" t="str">
            <v>Non-Prime</v>
          </cell>
          <cell r="O52" t="str">
            <v>Non-Prime</v>
          </cell>
          <cell r="P52" t="str">
            <v>Non-Prime</v>
          </cell>
          <cell r="Q52" t="str">
            <v>Non-Prime</v>
          </cell>
          <cell r="R52" t="str">
            <v>Non-Prime</v>
          </cell>
          <cell r="S52" t="str">
            <v>Non-Prime</v>
          </cell>
          <cell r="T52" t="str">
            <v>Prime</v>
          </cell>
          <cell r="U52" t="str">
            <v>Prime</v>
          </cell>
          <cell r="V52" t="str">
            <v>Prime</v>
          </cell>
          <cell r="W52" t="str">
            <v>Prime</v>
          </cell>
          <cell r="X52" t="str">
            <v>Prime</v>
          </cell>
          <cell r="Y52" t="str">
            <v>Prime</v>
          </cell>
          <cell r="Z52" t="str">
            <v>Non-Prime</v>
          </cell>
          <cell r="AA52" t="str">
            <v>Non-Prime</v>
          </cell>
          <cell r="AB52" t="str">
            <v>Non-Prime</v>
          </cell>
          <cell r="AC52" t="str">
            <v>Non-Prime</v>
          </cell>
          <cell r="AD52" t="str">
            <v>Non-Prime</v>
          </cell>
          <cell r="AE52" t="str">
            <v>Non-Prime</v>
          </cell>
          <cell r="AF52" t="str">
            <v>Non-Prime</v>
          </cell>
        </row>
        <row r="53">
          <cell r="A53" t="str">
            <v>Cyprus</v>
          </cell>
          <cell r="B53" t="str">
            <v>Non-Prime</v>
          </cell>
          <cell r="C53" t="str">
            <v>Non-Prime</v>
          </cell>
          <cell r="D53" t="str">
            <v>Non-Prime</v>
          </cell>
          <cell r="E53" t="str">
            <v>Non-Prime</v>
          </cell>
          <cell r="F53" t="str">
            <v>Non-Prime</v>
          </cell>
          <cell r="G53" t="str">
            <v>Non-Prime</v>
          </cell>
          <cell r="H53" t="str">
            <v>Non-Prime</v>
          </cell>
          <cell r="I53" t="str">
            <v>Non-Prime</v>
          </cell>
          <cell r="J53" t="str">
            <v>Non-Prime</v>
          </cell>
          <cell r="K53" t="str">
            <v>Non-Prime</v>
          </cell>
          <cell r="L53" t="str">
            <v>Non-Prime</v>
          </cell>
          <cell r="M53" t="str">
            <v>Non-Prime</v>
          </cell>
          <cell r="N53" t="str">
            <v>Non-Prime</v>
          </cell>
          <cell r="O53" t="str">
            <v>Non-Prime</v>
          </cell>
          <cell r="P53" t="str">
            <v>Non-Prime</v>
          </cell>
          <cell r="Q53" t="str">
            <v>Non-Prime</v>
          </cell>
          <cell r="R53" t="str">
            <v>Non-Prime</v>
          </cell>
          <cell r="S53" t="str">
            <v>Non-Prime</v>
          </cell>
          <cell r="T53" t="str">
            <v>Prime</v>
          </cell>
          <cell r="U53" t="str">
            <v>Prime</v>
          </cell>
          <cell r="V53" t="str">
            <v>Prime</v>
          </cell>
          <cell r="W53" t="str">
            <v>Prime</v>
          </cell>
          <cell r="X53" t="str">
            <v>Prime</v>
          </cell>
          <cell r="Y53" t="str">
            <v>Prime</v>
          </cell>
          <cell r="Z53" t="str">
            <v>Non-Prime</v>
          </cell>
          <cell r="AA53" t="str">
            <v>Non-Prime</v>
          </cell>
          <cell r="AB53" t="str">
            <v>Non-Prime</v>
          </cell>
          <cell r="AC53" t="str">
            <v>Non-Prime</v>
          </cell>
          <cell r="AD53" t="str">
            <v>Non-Prime</v>
          </cell>
          <cell r="AE53" t="str">
            <v>Non-Prime</v>
          </cell>
          <cell r="AF53" t="str">
            <v>Non-Prime</v>
          </cell>
        </row>
        <row r="54">
          <cell r="A54" t="str">
            <v>Czech Republic</v>
          </cell>
          <cell r="B54" t="str">
            <v>Non-Prime</v>
          </cell>
          <cell r="C54" t="str">
            <v>Non-Prime</v>
          </cell>
          <cell r="D54" t="str">
            <v>Non-Prime</v>
          </cell>
          <cell r="E54" t="str">
            <v>Non-Prime</v>
          </cell>
          <cell r="F54" t="str">
            <v>Non-Prime</v>
          </cell>
          <cell r="G54" t="str">
            <v>Non-Prime</v>
          </cell>
          <cell r="H54" t="str">
            <v>Non-Prime</v>
          </cell>
          <cell r="I54" t="str">
            <v>Non-Prime</v>
          </cell>
          <cell r="J54" t="str">
            <v>Non-Prime</v>
          </cell>
          <cell r="K54" t="str">
            <v>Non-Prime</v>
          </cell>
          <cell r="L54" t="str">
            <v>Non-Prime</v>
          </cell>
          <cell r="M54" t="str">
            <v>Non-Prime</v>
          </cell>
          <cell r="N54" t="str">
            <v>Non-Prime</v>
          </cell>
          <cell r="O54" t="str">
            <v>Non-Prime</v>
          </cell>
          <cell r="P54" t="str">
            <v>Non-Prime</v>
          </cell>
          <cell r="Q54" t="str">
            <v>Non-Prime</v>
          </cell>
          <cell r="R54" t="str">
            <v>Non-Prime</v>
          </cell>
          <cell r="S54" t="str">
            <v>Non-Prime</v>
          </cell>
          <cell r="T54" t="str">
            <v>Non-Prime</v>
          </cell>
          <cell r="U54" t="str">
            <v>Prime</v>
          </cell>
          <cell r="V54" t="str">
            <v>Prime</v>
          </cell>
          <cell r="W54" t="str">
            <v>Prime</v>
          </cell>
          <cell r="X54" t="str">
            <v>Prime</v>
          </cell>
          <cell r="Y54" t="str">
            <v>Non-Prime</v>
          </cell>
          <cell r="Z54" t="str">
            <v>Non-Prime</v>
          </cell>
          <cell r="AA54" t="str">
            <v>Non-Prime</v>
          </cell>
          <cell r="AB54" t="str">
            <v>Non-Prime</v>
          </cell>
          <cell r="AC54" t="str">
            <v>Non-Prime</v>
          </cell>
          <cell r="AD54" t="str">
            <v>Non-Prime</v>
          </cell>
          <cell r="AE54" t="str">
            <v>Non-Prime</v>
          </cell>
          <cell r="AF54" t="str">
            <v>Non-Prime</v>
          </cell>
        </row>
        <row r="55">
          <cell r="A55" t="str">
            <v>Czech/Slovakia</v>
          </cell>
          <cell r="B55" t="str">
            <v>Non-Prime</v>
          </cell>
          <cell r="C55" t="str">
            <v>Non-Prime</v>
          </cell>
          <cell r="D55" t="str">
            <v>Non-Prime</v>
          </cell>
          <cell r="E55" t="str">
            <v>Non-Prime</v>
          </cell>
          <cell r="F55" t="str">
            <v>Non-Prime</v>
          </cell>
          <cell r="G55" t="str">
            <v>Non-Prime</v>
          </cell>
          <cell r="H55" t="str">
            <v>Non-Prime</v>
          </cell>
          <cell r="I55" t="str">
            <v>Non-Prime</v>
          </cell>
          <cell r="J55" t="str">
            <v>Non-Prime</v>
          </cell>
          <cell r="K55" t="str">
            <v>Non-Prime</v>
          </cell>
          <cell r="L55" t="str">
            <v>Non-Prime</v>
          </cell>
          <cell r="M55" t="str">
            <v>Non-Prime</v>
          </cell>
          <cell r="N55" t="str">
            <v>Non-Prime</v>
          </cell>
          <cell r="O55" t="str">
            <v>Non-Prime</v>
          </cell>
          <cell r="P55" t="str">
            <v>Non-Prime</v>
          </cell>
          <cell r="Q55" t="str">
            <v>Non-Prime</v>
          </cell>
          <cell r="R55" t="str">
            <v>Non-Prime</v>
          </cell>
          <cell r="S55" t="str">
            <v>Non-Prime</v>
          </cell>
          <cell r="T55" t="str">
            <v>Non-Prime</v>
          </cell>
          <cell r="U55" t="str">
            <v>Prime</v>
          </cell>
          <cell r="V55" t="str">
            <v>Prime</v>
          </cell>
          <cell r="W55" t="str">
            <v>Prime</v>
          </cell>
          <cell r="X55" t="str">
            <v>Prime</v>
          </cell>
          <cell r="Y55" t="str">
            <v>Non-Prime</v>
          </cell>
          <cell r="Z55" t="str">
            <v>Non-Prime</v>
          </cell>
          <cell r="AA55" t="str">
            <v>Non-Prime</v>
          </cell>
          <cell r="AB55" t="str">
            <v>Non-Prime</v>
          </cell>
          <cell r="AC55" t="str">
            <v>Non-Prime</v>
          </cell>
          <cell r="AD55" t="str">
            <v>Non-Prime</v>
          </cell>
          <cell r="AE55" t="str">
            <v>Non-Prime</v>
          </cell>
          <cell r="AF55" t="str">
            <v>Non-Prime</v>
          </cell>
        </row>
        <row r="56">
          <cell r="A56" t="str">
            <v>Denmark</v>
          </cell>
          <cell r="B56" t="str">
            <v>Non-Prime</v>
          </cell>
          <cell r="C56" t="str">
            <v>Non-Prime</v>
          </cell>
          <cell r="D56" t="str">
            <v>Non-Prime</v>
          </cell>
          <cell r="E56" t="str">
            <v>Non-Prime</v>
          </cell>
          <cell r="F56" t="str">
            <v>Non-Prime</v>
          </cell>
          <cell r="G56" t="str">
            <v>Non-Prime</v>
          </cell>
          <cell r="H56" t="str">
            <v>Non-Prime</v>
          </cell>
          <cell r="I56" t="str">
            <v>Non-Prime</v>
          </cell>
          <cell r="J56" t="str">
            <v>Non-Prime</v>
          </cell>
          <cell r="K56" t="str">
            <v>Non-Prime</v>
          </cell>
          <cell r="L56" t="str">
            <v>Non-Prime</v>
          </cell>
          <cell r="M56" t="str">
            <v>Non-Prime</v>
          </cell>
          <cell r="N56" t="str">
            <v>Non-Prime</v>
          </cell>
          <cell r="O56" t="str">
            <v>Non-Prime</v>
          </cell>
          <cell r="P56" t="str">
            <v>Non-Prime</v>
          </cell>
          <cell r="Q56" t="str">
            <v>Non-Prime</v>
          </cell>
          <cell r="R56" t="str">
            <v>Non-Prime</v>
          </cell>
          <cell r="S56" t="str">
            <v>Non-Prime</v>
          </cell>
          <cell r="T56" t="str">
            <v>Non-Prime</v>
          </cell>
          <cell r="U56" t="str">
            <v>Prime</v>
          </cell>
          <cell r="V56" t="str">
            <v>Prime</v>
          </cell>
          <cell r="W56" t="str">
            <v>Prime</v>
          </cell>
          <cell r="X56" t="str">
            <v>Prime</v>
          </cell>
          <cell r="Y56" t="str">
            <v>Non-Prime</v>
          </cell>
          <cell r="Z56" t="str">
            <v>Non-Prime</v>
          </cell>
          <cell r="AA56" t="str">
            <v>Non-Prime</v>
          </cell>
          <cell r="AB56" t="str">
            <v>Non-Prime</v>
          </cell>
          <cell r="AC56" t="str">
            <v>Non-Prime</v>
          </cell>
          <cell r="AD56" t="str">
            <v>Non-Prime</v>
          </cell>
          <cell r="AE56" t="str">
            <v>Non-Prime</v>
          </cell>
          <cell r="AF56" t="str">
            <v>Non-Prime</v>
          </cell>
        </row>
        <row r="57">
          <cell r="A57" t="str">
            <v>Djibouti</v>
          </cell>
          <cell r="B57" t="str">
            <v>Non-Prime</v>
          </cell>
          <cell r="C57" t="str">
            <v>Non-Prime</v>
          </cell>
          <cell r="D57" t="str">
            <v>Non-Prime</v>
          </cell>
          <cell r="E57" t="str">
            <v>Non-Prime</v>
          </cell>
          <cell r="F57" t="str">
            <v>Non-Prime</v>
          </cell>
          <cell r="G57" t="str">
            <v>Non-Prime</v>
          </cell>
          <cell r="H57" t="str">
            <v>Non-Prime</v>
          </cell>
          <cell r="I57" t="str">
            <v>Non-Prime</v>
          </cell>
          <cell r="J57" t="str">
            <v>Non-Prime</v>
          </cell>
          <cell r="K57" t="str">
            <v>Non-Prime</v>
          </cell>
          <cell r="L57" t="str">
            <v>Non-Prime</v>
          </cell>
          <cell r="M57" t="str">
            <v>Non-Prime</v>
          </cell>
          <cell r="N57" t="str">
            <v>Non-Prime</v>
          </cell>
          <cell r="O57" t="str">
            <v>Non-Prime</v>
          </cell>
          <cell r="P57" t="str">
            <v>Non-Prime</v>
          </cell>
          <cell r="Q57" t="str">
            <v>Non-Prime</v>
          </cell>
          <cell r="R57" t="str">
            <v>Non-Prime</v>
          </cell>
          <cell r="S57" t="str">
            <v>Non-Prime</v>
          </cell>
          <cell r="T57" t="str">
            <v>Prime</v>
          </cell>
          <cell r="U57" t="str">
            <v>Prime</v>
          </cell>
          <cell r="V57" t="str">
            <v>Prime</v>
          </cell>
          <cell r="W57" t="str">
            <v>Prime</v>
          </cell>
          <cell r="X57" t="str">
            <v>Prime</v>
          </cell>
          <cell r="Y57" t="str">
            <v>Prime</v>
          </cell>
          <cell r="Z57" t="str">
            <v>Non-Prime</v>
          </cell>
          <cell r="AA57" t="str">
            <v>Non-Prime</v>
          </cell>
          <cell r="AB57" t="str">
            <v>Non-Prime</v>
          </cell>
          <cell r="AC57" t="str">
            <v>Non-Prime</v>
          </cell>
          <cell r="AD57" t="str">
            <v>Non-Prime</v>
          </cell>
          <cell r="AE57" t="str">
            <v>Non-Prime</v>
          </cell>
          <cell r="AF57" t="str">
            <v>Non-Prime</v>
          </cell>
        </row>
        <row r="58">
          <cell r="A58" t="str">
            <v>Dominica</v>
          </cell>
          <cell r="B58" t="str">
            <v>Non-Prime</v>
          </cell>
          <cell r="C58" t="str">
            <v>Non-Prime</v>
          </cell>
          <cell r="D58" t="str">
            <v>Non-Prime</v>
          </cell>
          <cell r="E58" t="str">
            <v>Non-Prime</v>
          </cell>
          <cell r="F58" t="str">
            <v>Non-Prime</v>
          </cell>
          <cell r="G58" t="str">
            <v>Non-Prime</v>
          </cell>
          <cell r="H58" t="str">
            <v>Non-Prime</v>
          </cell>
          <cell r="I58" t="str">
            <v>Non-Prime</v>
          </cell>
          <cell r="J58" t="str">
            <v>Non-Prime</v>
          </cell>
          <cell r="K58" t="str">
            <v>Non-Prime</v>
          </cell>
          <cell r="L58" t="str">
            <v>Non-Prime</v>
          </cell>
          <cell r="M58" t="str">
            <v>Non-Prime</v>
          </cell>
          <cell r="N58" t="str">
            <v>Non-Prime</v>
          </cell>
          <cell r="O58" t="str">
            <v>Non-Prime</v>
          </cell>
          <cell r="P58" t="str">
            <v>Non-Prime</v>
          </cell>
          <cell r="Q58" t="str">
            <v>Non-Prime</v>
          </cell>
          <cell r="R58" t="str">
            <v>Non-Prime</v>
          </cell>
          <cell r="S58" t="str">
            <v>Non-Prime</v>
          </cell>
          <cell r="T58" t="str">
            <v>Prime</v>
          </cell>
          <cell r="U58" t="str">
            <v>Prime</v>
          </cell>
          <cell r="V58" t="str">
            <v>Prime</v>
          </cell>
          <cell r="W58" t="str">
            <v>Prime</v>
          </cell>
          <cell r="X58" t="str">
            <v>Prime</v>
          </cell>
          <cell r="Y58" t="str">
            <v>Prime</v>
          </cell>
          <cell r="Z58" t="str">
            <v>Non-Prime</v>
          </cell>
          <cell r="AA58" t="str">
            <v>Non-Prime</v>
          </cell>
          <cell r="AB58" t="str">
            <v>Non-Prime</v>
          </cell>
          <cell r="AC58" t="str">
            <v>Non-Prime</v>
          </cell>
          <cell r="AD58" t="str">
            <v>Non-Prime</v>
          </cell>
          <cell r="AE58" t="str">
            <v>Non-Prime</v>
          </cell>
          <cell r="AF58" t="str">
            <v>Non-Prime</v>
          </cell>
        </row>
        <row r="59">
          <cell r="A59" t="str">
            <v>Dominican Republic</v>
          </cell>
          <cell r="B59" t="str">
            <v>Non-Prime</v>
          </cell>
          <cell r="C59" t="str">
            <v>Non-Prime</v>
          </cell>
          <cell r="D59" t="str">
            <v>Non-Prime</v>
          </cell>
          <cell r="E59" t="str">
            <v>Non-Prime</v>
          </cell>
          <cell r="F59" t="str">
            <v>Non-Prime</v>
          </cell>
          <cell r="G59" t="str">
            <v>Non-Prime</v>
          </cell>
          <cell r="H59" t="str">
            <v>Non-Prime</v>
          </cell>
          <cell r="I59" t="str">
            <v>Non-Prime</v>
          </cell>
          <cell r="J59" t="str">
            <v>Non-Prime</v>
          </cell>
          <cell r="K59" t="str">
            <v>Non-Prime</v>
          </cell>
          <cell r="L59" t="str">
            <v>Non-Prime</v>
          </cell>
          <cell r="M59" t="str">
            <v>Non-Prime</v>
          </cell>
          <cell r="N59" t="str">
            <v>Non-Prime</v>
          </cell>
          <cell r="O59" t="str">
            <v>Non-Prime</v>
          </cell>
          <cell r="P59" t="str">
            <v>Non-Prime</v>
          </cell>
          <cell r="Q59" t="str">
            <v>Non-Prime</v>
          </cell>
          <cell r="R59" t="str">
            <v>Non-Prime</v>
          </cell>
          <cell r="S59" t="str">
            <v>Non-Prime</v>
          </cell>
          <cell r="T59" t="str">
            <v>Prime</v>
          </cell>
          <cell r="U59" t="str">
            <v>Prime</v>
          </cell>
          <cell r="V59" t="str">
            <v>Prime</v>
          </cell>
          <cell r="W59" t="str">
            <v>Prime</v>
          </cell>
          <cell r="X59" t="str">
            <v>Prime</v>
          </cell>
          <cell r="Y59" t="str">
            <v>Prime</v>
          </cell>
          <cell r="Z59" t="str">
            <v>Non-Prime</v>
          </cell>
          <cell r="AA59" t="str">
            <v>Non-Prime</v>
          </cell>
          <cell r="AB59" t="str">
            <v>Non-Prime</v>
          </cell>
          <cell r="AC59" t="str">
            <v>Non-Prime</v>
          </cell>
          <cell r="AD59" t="str">
            <v>Non-Prime</v>
          </cell>
          <cell r="AE59" t="str">
            <v>Non-Prime</v>
          </cell>
          <cell r="AF59" t="str">
            <v>Non-Prime</v>
          </cell>
        </row>
        <row r="60">
          <cell r="A60" t="str">
            <v>East Timor</v>
          </cell>
          <cell r="B60" t="str">
            <v>Non-Prime</v>
          </cell>
          <cell r="C60" t="str">
            <v>Non-Prime</v>
          </cell>
          <cell r="D60" t="str">
            <v>Non-Prime</v>
          </cell>
          <cell r="E60" t="str">
            <v>Non-Prime</v>
          </cell>
          <cell r="F60" t="str">
            <v>Non-Prime</v>
          </cell>
          <cell r="G60" t="str">
            <v>Non-Prime</v>
          </cell>
          <cell r="H60" t="str">
            <v>Non-Prime</v>
          </cell>
          <cell r="I60" t="str">
            <v>Non-Prime</v>
          </cell>
          <cell r="J60" t="str">
            <v>Non-Prime</v>
          </cell>
          <cell r="K60" t="str">
            <v>Non-Prime</v>
          </cell>
          <cell r="L60" t="str">
            <v>Non-Prime</v>
          </cell>
          <cell r="M60" t="str">
            <v>Non-Prime</v>
          </cell>
          <cell r="N60" t="str">
            <v>Non-Prime</v>
          </cell>
          <cell r="O60" t="str">
            <v>Non-Prime</v>
          </cell>
          <cell r="P60" t="str">
            <v>Non-Prime</v>
          </cell>
          <cell r="Q60" t="str">
            <v>Non-Prime</v>
          </cell>
          <cell r="R60" t="str">
            <v>Non-Prime</v>
          </cell>
          <cell r="S60" t="str">
            <v>Non-Prime</v>
          </cell>
          <cell r="T60" t="str">
            <v>Prime</v>
          </cell>
          <cell r="U60" t="str">
            <v>Prime</v>
          </cell>
          <cell r="V60" t="str">
            <v>Prime</v>
          </cell>
          <cell r="W60" t="str">
            <v>Prime</v>
          </cell>
          <cell r="X60" t="str">
            <v>Prime</v>
          </cell>
          <cell r="Y60" t="str">
            <v>Prime</v>
          </cell>
          <cell r="Z60" t="str">
            <v>Non-Prime</v>
          </cell>
          <cell r="AA60" t="str">
            <v>Non-Prime</v>
          </cell>
          <cell r="AB60" t="str">
            <v>Non-Prime</v>
          </cell>
          <cell r="AC60" t="str">
            <v>Non-Prime</v>
          </cell>
          <cell r="AD60" t="str">
            <v>Non-Prime</v>
          </cell>
          <cell r="AE60" t="str">
            <v>Non-Prime</v>
          </cell>
          <cell r="AF60" t="str">
            <v>Non-Prime</v>
          </cell>
        </row>
        <row r="61">
          <cell r="A61" t="str">
            <v>Ecuador</v>
          </cell>
          <cell r="B61" t="str">
            <v>Non-Prime</v>
          </cell>
          <cell r="C61" t="str">
            <v>Non-Prime</v>
          </cell>
          <cell r="D61" t="str">
            <v>Non-Prime</v>
          </cell>
          <cell r="E61" t="str">
            <v>Non-Prime</v>
          </cell>
          <cell r="F61" t="str">
            <v>Non-Prime</v>
          </cell>
          <cell r="G61" t="str">
            <v>Non-Prime</v>
          </cell>
          <cell r="H61" t="str">
            <v>Non-Prime</v>
          </cell>
          <cell r="I61" t="str">
            <v>Non-Prime</v>
          </cell>
          <cell r="J61" t="str">
            <v>Non-Prime</v>
          </cell>
          <cell r="K61" t="str">
            <v>Non-Prime</v>
          </cell>
          <cell r="L61" t="str">
            <v>Non-Prime</v>
          </cell>
          <cell r="M61" t="str">
            <v>Non-Prime</v>
          </cell>
          <cell r="N61" t="str">
            <v>Non-Prime</v>
          </cell>
          <cell r="O61" t="str">
            <v>Non-Prime</v>
          </cell>
          <cell r="P61" t="str">
            <v>Non-Prime</v>
          </cell>
          <cell r="Q61" t="str">
            <v>Non-Prime</v>
          </cell>
          <cell r="R61" t="str">
            <v>Non-Prime</v>
          </cell>
          <cell r="S61" t="str">
            <v>Non-Prime</v>
          </cell>
          <cell r="T61" t="str">
            <v>Prime</v>
          </cell>
          <cell r="U61" t="str">
            <v>Prime</v>
          </cell>
          <cell r="V61" t="str">
            <v>Prime</v>
          </cell>
          <cell r="W61" t="str">
            <v>Prime</v>
          </cell>
          <cell r="X61" t="str">
            <v>Prime</v>
          </cell>
          <cell r="Y61" t="str">
            <v>Prime</v>
          </cell>
          <cell r="Z61" t="str">
            <v>Non-Prime</v>
          </cell>
          <cell r="AA61" t="str">
            <v>Non-Prime</v>
          </cell>
          <cell r="AB61" t="str">
            <v>Non-Prime</v>
          </cell>
          <cell r="AC61" t="str">
            <v>Non-Prime</v>
          </cell>
          <cell r="AD61" t="str">
            <v>Non-Prime</v>
          </cell>
          <cell r="AE61" t="str">
            <v>Non-Prime</v>
          </cell>
          <cell r="AF61" t="str">
            <v>Non-Prime</v>
          </cell>
        </row>
        <row r="62">
          <cell r="A62" t="str">
            <v>Egypt</v>
          </cell>
          <cell r="B62" t="str">
            <v>Non-Prime</v>
          </cell>
          <cell r="C62" t="str">
            <v>Non-Prime</v>
          </cell>
          <cell r="D62" t="str">
            <v>Non-Prime</v>
          </cell>
          <cell r="E62" t="str">
            <v>Non-Prime</v>
          </cell>
          <cell r="F62" t="str">
            <v>Non-Prime</v>
          </cell>
          <cell r="G62" t="str">
            <v>Non-Prime</v>
          </cell>
          <cell r="H62" t="str">
            <v>Non-Prime</v>
          </cell>
          <cell r="I62" t="str">
            <v>Non-Prime</v>
          </cell>
          <cell r="J62" t="str">
            <v>Non-Prime</v>
          </cell>
          <cell r="K62" t="str">
            <v>Non-Prime</v>
          </cell>
          <cell r="L62" t="str">
            <v>Non-Prime</v>
          </cell>
          <cell r="M62" t="str">
            <v>Non-Prime</v>
          </cell>
          <cell r="N62" t="str">
            <v>Non-Prime</v>
          </cell>
          <cell r="O62" t="str">
            <v>Non-Prime</v>
          </cell>
          <cell r="P62" t="str">
            <v>Non-Prime</v>
          </cell>
          <cell r="Q62" t="str">
            <v>Non-Prime</v>
          </cell>
          <cell r="R62" t="str">
            <v>Non-Prime</v>
          </cell>
          <cell r="S62" t="str">
            <v>Non-Prime</v>
          </cell>
          <cell r="T62" t="str">
            <v>Prime</v>
          </cell>
          <cell r="U62" t="str">
            <v>Prime</v>
          </cell>
          <cell r="V62" t="str">
            <v>Prime</v>
          </cell>
          <cell r="W62" t="str">
            <v>Prime</v>
          </cell>
          <cell r="X62" t="str">
            <v>Prime</v>
          </cell>
          <cell r="Y62" t="str">
            <v>Prime</v>
          </cell>
          <cell r="Z62" t="str">
            <v>Non-Prime</v>
          </cell>
          <cell r="AA62" t="str">
            <v>Non-Prime</v>
          </cell>
          <cell r="AB62" t="str">
            <v>Non-Prime</v>
          </cell>
          <cell r="AC62" t="str">
            <v>Non-Prime</v>
          </cell>
          <cell r="AD62" t="str">
            <v>Non-Prime</v>
          </cell>
          <cell r="AE62" t="str">
            <v>Non-Prime</v>
          </cell>
          <cell r="AF62" t="str">
            <v>Non-Prime</v>
          </cell>
        </row>
        <row r="63">
          <cell r="A63" t="str">
            <v>El Salvador</v>
          </cell>
          <cell r="B63" t="str">
            <v>Non-Prime</v>
          </cell>
          <cell r="C63" t="str">
            <v>Non-Prime</v>
          </cell>
          <cell r="D63" t="str">
            <v>Non-Prime</v>
          </cell>
          <cell r="E63" t="str">
            <v>Non-Prime</v>
          </cell>
          <cell r="F63" t="str">
            <v>Non-Prime</v>
          </cell>
          <cell r="G63" t="str">
            <v>Non-Prime</v>
          </cell>
          <cell r="H63" t="str">
            <v>Non-Prime</v>
          </cell>
          <cell r="I63" t="str">
            <v>Non-Prime</v>
          </cell>
          <cell r="J63" t="str">
            <v>Non-Prime</v>
          </cell>
          <cell r="K63" t="str">
            <v>Non-Prime</v>
          </cell>
          <cell r="L63" t="str">
            <v>Non-Prime</v>
          </cell>
          <cell r="M63" t="str">
            <v>Non-Prime</v>
          </cell>
          <cell r="N63" t="str">
            <v>Non-Prime</v>
          </cell>
          <cell r="O63" t="str">
            <v>Non-Prime</v>
          </cell>
          <cell r="P63" t="str">
            <v>Non-Prime</v>
          </cell>
          <cell r="Q63" t="str">
            <v>Non-Prime</v>
          </cell>
          <cell r="R63" t="str">
            <v>Non-Prime</v>
          </cell>
          <cell r="S63" t="str">
            <v>Non-Prime</v>
          </cell>
          <cell r="T63" t="str">
            <v>Prime</v>
          </cell>
          <cell r="U63" t="str">
            <v>Prime</v>
          </cell>
          <cell r="V63" t="str">
            <v>Prime</v>
          </cell>
          <cell r="W63" t="str">
            <v>Prime</v>
          </cell>
          <cell r="X63" t="str">
            <v>Prime</v>
          </cell>
          <cell r="Y63" t="str">
            <v>Prime</v>
          </cell>
          <cell r="Z63" t="str">
            <v>Non-Prime</v>
          </cell>
          <cell r="AA63" t="str">
            <v>Non-Prime</v>
          </cell>
          <cell r="AB63" t="str">
            <v>Non-Prime</v>
          </cell>
          <cell r="AC63" t="str">
            <v>Non-Prime</v>
          </cell>
          <cell r="AD63" t="str">
            <v>Non-Prime</v>
          </cell>
          <cell r="AE63" t="str">
            <v>Non-Prime</v>
          </cell>
          <cell r="AF63" t="str">
            <v>Non-Prime</v>
          </cell>
        </row>
        <row r="64">
          <cell r="A64" t="str">
            <v>Equatorial Guinea</v>
          </cell>
          <cell r="B64" t="str">
            <v>Non-Prime</v>
          </cell>
          <cell r="C64" t="str">
            <v>Non-Prime</v>
          </cell>
          <cell r="D64" t="str">
            <v>Non-Prime</v>
          </cell>
          <cell r="E64" t="str">
            <v>Non-Prime</v>
          </cell>
          <cell r="F64" t="str">
            <v>Non-Prime</v>
          </cell>
          <cell r="G64" t="str">
            <v>Non-Prime</v>
          </cell>
          <cell r="H64" t="str">
            <v>Non-Prime</v>
          </cell>
          <cell r="I64" t="str">
            <v>Non-Prime</v>
          </cell>
          <cell r="J64" t="str">
            <v>Non-Prime</v>
          </cell>
          <cell r="K64" t="str">
            <v>Non-Prime</v>
          </cell>
          <cell r="L64" t="str">
            <v>Non-Prime</v>
          </cell>
          <cell r="M64" t="str">
            <v>Non-Prime</v>
          </cell>
          <cell r="N64" t="str">
            <v>Non-Prime</v>
          </cell>
          <cell r="O64" t="str">
            <v>Non-Prime</v>
          </cell>
          <cell r="P64" t="str">
            <v>Non-Prime</v>
          </cell>
          <cell r="Q64" t="str">
            <v>Non-Prime</v>
          </cell>
          <cell r="R64" t="str">
            <v>Non-Prime</v>
          </cell>
          <cell r="S64" t="str">
            <v>Non-Prime</v>
          </cell>
          <cell r="T64" t="str">
            <v>Prime</v>
          </cell>
          <cell r="U64" t="str">
            <v>Prime</v>
          </cell>
          <cell r="V64" t="str">
            <v>Prime</v>
          </cell>
          <cell r="W64" t="str">
            <v>Prime</v>
          </cell>
          <cell r="X64" t="str">
            <v>Prime</v>
          </cell>
          <cell r="Y64" t="str">
            <v>Prime</v>
          </cell>
          <cell r="Z64" t="str">
            <v>Non-Prime</v>
          </cell>
          <cell r="AA64" t="str">
            <v>Non-Prime</v>
          </cell>
          <cell r="AB64" t="str">
            <v>Non-Prime</v>
          </cell>
          <cell r="AC64" t="str">
            <v>Non-Prime</v>
          </cell>
          <cell r="AD64" t="str">
            <v>Non-Prime</v>
          </cell>
          <cell r="AE64" t="str">
            <v>Non-Prime</v>
          </cell>
          <cell r="AF64" t="str">
            <v>Non-Prime</v>
          </cell>
        </row>
        <row r="65">
          <cell r="A65" t="str">
            <v>Eritrea</v>
          </cell>
          <cell r="B65" t="str">
            <v>Non-Prime</v>
          </cell>
          <cell r="C65" t="str">
            <v>Non-Prime</v>
          </cell>
          <cell r="D65" t="str">
            <v>Non-Prime</v>
          </cell>
          <cell r="E65" t="str">
            <v>Non-Prime</v>
          </cell>
          <cell r="F65" t="str">
            <v>Non-Prime</v>
          </cell>
          <cell r="G65" t="str">
            <v>Non-Prime</v>
          </cell>
          <cell r="H65" t="str">
            <v>Non-Prime</v>
          </cell>
          <cell r="I65" t="str">
            <v>Non-Prime</v>
          </cell>
          <cell r="J65" t="str">
            <v>Non-Prime</v>
          </cell>
          <cell r="K65" t="str">
            <v>Non-Prime</v>
          </cell>
          <cell r="L65" t="str">
            <v>Non-Prime</v>
          </cell>
          <cell r="M65" t="str">
            <v>Non-Prime</v>
          </cell>
          <cell r="N65" t="str">
            <v>Non-Prime</v>
          </cell>
          <cell r="O65" t="str">
            <v>Non-Prime</v>
          </cell>
          <cell r="P65" t="str">
            <v>Non-Prime</v>
          </cell>
          <cell r="Q65" t="str">
            <v>Non-Prime</v>
          </cell>
          <cell r="R65" t="str">
            <v>Non-Prime</v>
          </cell>
          <cell r="S65" t="str">
            <v>Non-Prime</v>
          </cell>
          <cell r="T65" t="str">
            <v>Prime</v>
          </cell>
          <cell r="U65" t="str">
            <v>Prime</v>
          </cell>
          <cell r="V65" t="str">
            <v>Prime</v>
          </cell>
          <cell r="W65" t="str">
            <v>Prime</v>
          </cell>
          <cell r="X65" t="str">
            <v>Prime</v>
          </cell>
          <cell r="Y65" t="str">
            <v>Prime</v>
          </cell>
          <cell r="Z65" t="str">
            <v>Non-Prime</v>
          </cell>
          <cell r="AA65" t="str">
            <v>Non-Prime</v>
          </cell>
          <cell r="AB65" t="str">
            <v>Non-Prime</v>
          </cell>
          <cell r="AC65" t="str">
            <v>Non-Prime</v>
          </cell>
          <cell r="AD65" t="str">
            <v>Non-Prime</v>
          </cell>
          <cell r="AE65" t="str">
            <v>Non-Prime</v>
          </cell>
          <cell r="AF65" t="str">
            <v>Non-Prime</v>
          </cell>
        </row>
        <row r="66">
          <cell r="A66" t="str">
            <v>Estonia</v>
          </cell>
          <cell r="B66" t="str">
            <v>Non-Prime</v>
          </cell>
          <cell r="C66" t="str">
            <v>Non-Prime</v>
          </cell>
          <cell r="D66" t="str">
            <v>Non-Prime</v>
          </cell>
          <cell r="E66" t="str">
            <v>Non-Prime</v>
          </cell>
          <cell r="F66" t="str">
            <v>Non-Prime</v>
          </cell>
          <cell r="G66" t="str">
            <v>Non-Prime</v>
          </cell>
          <cell r="H66" t="str">
            <v>Non-Prime</v>
          </cell>
          <cell r="I66" t="str">
            <v>Non-Prime</v>
          </cell>
          <cell r="J66" t="str">
            <v>Non-Prime</v>
          </cell>
          <cell r="K66" t="str">
            <v>Non-Prime</v>
          </cell>
          <cell r="L66" t="str">
            <v>Non-Prime</v>
          </cell>
          <cell r="M66" t="str">
            <v>Non-Prime</v>
          </cell>
          <cell r="N66" t="str">
            <v>Non-Prime</v>
          </cell>
          <cell r="O66" t="str">
            <v>Non-Prime</v>
          </cell>
          <cell r="P66" t="str">
            <v>Non-Prime</v>
          </cell>
          <cell r="Q66" t="str">
            <v>Non-Prime</v>
          </cell>
          <cell r="R66" t="str">
            <v>Non-Prime</v>
          </cell>
          <cell r="S66" t="str">
            <v>Non-Prime</v>
          </cell>
          <cell r="T66" t="str">
            <v>Prime</v>
          </cell>
          <cell r="U66" t="str">
            <v>Prime</v>
          </cell>
          <cell r="V66" t="str">
            <v>Prime</v>
          </cell>
          <cell r="W66" t="str">
            <v>Prime</v>
          </cell>
          <cell r="X66" t="str">
            <v>Prime</v>
          </cell>
          <cell r="Y66" t="str">
            <v>Prime</v>
          </cell>
          <cell r="Z66" t="str">
            <v>Non-Prime</v>
          </cell>
          <cell r="AA66" t="str">
            <v>Non-Prime</v>
          </cell>
          <cell r="AB66" t="str">
            <v>Non-Prime</v>
          </cell>
          <cell r="AC66" t="str">
            <v>Non-Prime</v>
          </cell>
          <cell r="AD66" t="str">
            <v>Non-Prime</v>
          </cell>
          <cell r="AE66" t="str">
            <v>Non-Prime</v>
          </cell>
          <cell r="AF66" t="str">
            <v>Non-Prime</v>
          </cell>
        </row>
        <row r="67">
          <cell r="A67" t="str">
            <v>Ethiopia</v>
          </cell>
          <cell r="B67" t="str">
            <v>Non-Prime</v>
          </cell>
          <cell r="C67" t="str">
            <v>Non-Prime</v>
          </cell>
          <cell r="D67" t="str">
            <v>Non-Prime</v>
          </cell>
          <cell r="E67" t="str">
            <v>Non-Prime</v>
          </cell>
          <cell r="F67" t="str">
            <v>Non-Prime</v>
          </cell>
          <cell r="G67" t="str">
            <v>Non-Prime</v>
          </cell>
          <cell r="H67" t="str">
            <v>Non-Prime</v>
          </cell>
          <cell r="I67" t="str">
            <v>Non-Prime</v>
          </cell>
          <cell r="J67" t="str">
            <v>Non-Prime</v>
          </cell>
          <cell r="K67" t="str">
            <v>Non-Prime</v>
          </cell>
          <cell r="L67" t="str">
            <v>Non-Prime</v>
          </cell>
          <cell r="M67" t="str">
            <v>Non-Prime</v>
          </cell>
          <cell r="N67" t="str">
            <v>Non-Prime</v>
          </cell>
          <cell r="O67" t="str">
            <v>Non-Prime</v>
          </cell>
          <cell r="P67" t="str">
            <v>Non-Prime</v>
          </cell>
          <cell r="Q67" t="str">
            <v>Non-Prime</v>
          </cell>
          <cell r="R67" t="str">
            <v>Non-Prime</v>
          </cell>
          <cell r="S67" t="str">
            <v>Non-Prime</v>
          </cell>
          <cell r="T67" t="str">
            <v>Prime</v>
          </cell>
          <cell r="U67" t="str">
            <v>Prime</v>
          </cell>
          <cell r="V67" t="str">
            <v>Prime</v>
          </cell>
          <cell r="W67" t="str">
            <v>Prime</v>
          </cell>
          <cell r="X67" t="str">
            <v>Prime</v>
          </cell>
          <cell r="Y67" t="str">
            <v>Prime</v>
          </cell>
          <cell r="Z67" t="str">
            <v>Non-Prime</v>
          </cell>
          <cell r="AA67" t="str">
            <v>Non-Prime</v>
          </cell>
          <cell r="AB67" t="str">
            <v>Non-Prime</v>
          </cell>
          <cell r="AC67" t="str">
            <v>Non-Prime</v>
          </cell>
          <cell r="AD67" t="str">
            <v>Non-Prime</v>
          </cell>
          <cell r="AE67" t="str">
            <v>Non-Prime</v>
          </cell>
          <cell r="AF67" t="str">
            <v>Non-Prime</v>
          </cell>
        </row>
        <row r="68">
          <cell r="A68" t="str">
            <v>Eustatius</v>
          </cell>
          <cell r="B68" t="str">
            <v>Non-Prime</v>
          </cell>
          <cell r="C68" t="str">
            <v>Non-Prime</v>
          </cell>
          <cell r="D68" t="str">
            <v>Non-Prime</v>
          </cell>
          <cell r="E68" t="str">
            <v>Non-Prime</v>
          </cell>
          <cell r="F68" t="str">
            <v>Non-Prime</v>
          </cell>
          <cell r="G68" t="str">
            <v>Non-Prime</v>
          </cell>
          <cell r="H68" t="str">
            <v>Non-Prime</v>
          </cell>
          <cell r="I68" t="str">
            <v>Non-Prime</v>
          </cell>
          <cell r="J68" t="str">
            <v>Non-Prime</v>
          </cell>
          <cell r="K68" t="str">
            <v>Non-Prime</v>
          </cell>
          <cell r="L68" t="str">
            <v>Non-Prime</v>
          </cell>
          <cell r="M68" t="str">
            <v>Non-Prime</v>
          </cell>
          <cell r="N68" t="str">
            <v>Non-Prime</v>
          </cell>
          <cell r="O68" t="str">
            <v>Non-Prime</v>
          </cell>
          <cell r="P68" t="str">
            <v>Non-Prime</v>
          </cell>
          <cell r="Q68" t="str">
            <v>Non-Prime</v>
          </cell>
          <cell r="R68" t="str">
            <v>Non-Prime</v>
          </cell>
          <cell r="S68" t="str">
            <v>Non-Prime</v>
          </cell>
          <cell r="T68" t="str">
            <v>Prime</v>
          </cell>
          <cell r="U68" t="str">
            <v>Prime</v>
          </cell>
          <cell r="V68" t="str">
            <v>Prime</v>
          </cell>
          <cell r="W68" t="str">
            <v>Prime</v>
          </cell>
          <cell r="X68" t="str">
            <v>Prime</v>
          </cell>
          <cell r="Y68" t="str">
            <v>Prime</v>
          </cell>
          <cell r="Z68" t="str">
            <v>Non-Prime</v>
          </cell>
          <cell r="AA68" t="str">
            <v>Non-Prime</v>
          </cell>
          <cell r="AB68" t="str">
            <v>Non-Prime</v>
          </cell>
          <cell r="AC68" t="str">
            <v>Non-Prime</v>
          </cell>
          <cell r="AD68" t="str">
            <v>Non-Prime</v>
          </cell>
          <cell r="AE68" t="str">
            <v>Non-Prime</v>
          </cell>
          <cell r="AF68" t="str">
            <v>Non-Prime</v>
          </cell>
        </row>
        <row r="69">
          <cell r="A69" t="str">
            <v>Faeroe Islands</v>
          </cell>
          <cell r="B69" t="str">
            <v>Non-Prime</v>
          </cell>
          <cell r="C69" t="str">
            <v>Non-Prime</v>
          </cell>
          <cell r="D69" t="str">
            <v>Non-Prime</v>
          </cell>
          <cell r="E69" t="str">
            <v>Non-Prime</v>
          </cell>
          <cell r="F69" t="str">
            <v>Non-Prime</v>
          </cell>
          <cell r="G69" t="str">
            <v>Non-Prime</v>
          </cell>
          <cell r="H69" t="str">
            <v>Non-Prime</v>
          </cell>
          <cell r="I69" t="str">
            <v>Non-Prime</v>
          </cell>
          <cell r="J69" t="str">
            <v>Non-Prime</v>
          </cell>
          <cell r="K69" t="str">
            <v>Non-Prime</v>
          </cell>
          <cell r="L69" t="str">
            <v>Non-Prime</v>
          </cell>
          <cell r="M69" t="str">
            <v>Non-Prime</v>
          </cell>
          <cell r="N69" t="str">
            <v>Non-Prime</v>
          </cell>
          <cell r="O69" t="str">
            <v>Non-Prime</v>
          </cell>
          <cell r="P69" t="str">
            <v>Non-Prime</v>
          </cell>
          <cell r="Q69" t="str">
            <v>Non-Prime</v>
          </cell>
          <cell r="R69" t="str">
            <v>Non-Prime</v>
          </cell>
          <cell r="S69" t="str">
            <v>Non-Prime</v>
          </cell>
          <cell r="T69" t="str">
            <v>Prime</v>
          </cell>
          <cell r="U69" t="str">
            <v>Prime</v>
          </cell>
          <cell r="V69" t="str">
            <v>Prime</v>
          </cell>
          <cell r="W69" t="str">
            <v>Prime</v>
          </cell>
          <cell r="X69" t="str">
            <v>Prime</v>
          </cell>
          <cell r="Y69" t="str">
            <v>Prime</v>
          </cell>
          <cell r="Z69" t="str">
            <v>Non-Prime</v>
          </cell>
          <cell r="AA69" t="str">
            <v>Non-Prime</v>
          </cell>
          <cell r="AB69" t="str">
            <v>Non-Prime</v>
          </cell>
          <cell r="AC69" t="str">
            <v>Non-Prime</v>
          </cell>
          <cell r="AD69" t="str">
            <v>Non-Prime</v>
          </cell>
          <cell r="AE69" t="str">
            <v>Non-Prime</v>
          </cell>
          <cell r="AF69" t="str">
            <v>Non-Prime</v>
          </cell>
        </row>
        <row r="70">
          <cell r="A70" t="str">
            <v>Falkland Islands</v>
          </cell>
          <cell r="B70" t="str">
            <v>Non-Prime</v>
          </cell>
          <cell r="C70" t="str">
            <v>Non-Prime</v>
          </cell>
          <cell r="D70" t="str">
            <v>Non-Prime</v>
          </cell>
          <cell r="E70" t="str">
            <v>Non-Prime</v>
          </cell>
          <cell r="F70" t="str">
            <v>Non-Prime</v>
          </cell>
          <cell r="G70" t="str">
            <v>Non-Prime</v>
          </cell>
          <cell r="H70" t="str">
            <v>Non-Prime</v>
          </cell>
          <cell r="I70" t="str">
            <v>Non-Prime</v>
          </cell>
          <cell r="J70" t="str">
            <v>Non-Prime</v>
          </cell>
          <cell r="K70" t="str">
            <v>Non-Prime</v>
          </cell>
          <cell r="L70" t="str">
            <v>Non-Prime</v>
          </cell>
          <cell r="M70" t="str">
            <v>Non-Prime</v>
          </cell>
          <cell r="N70" t="str">
            <v>Non-Prime</v>
          </cell>
          <cell r="O70" t="str">
            <v>Non-Prime</v>
          </cell>
          <cell r="P70" t="str">
            <v>Non-Prime</v>
          </cell>
          <cell r="Q70" t="str">
            <v>Non-Prime</v>
          </cell>
          <cell r="R70" t="str">
            <v>Non-Prime</v>
          </cell>
          <cell r="S70" t="str">
            <v>Non-Prime</v>
          </cell>
          <cell r="T70" t="str">
            <v>Prime</v>
          </cell>
          <cell r="U70" t="str">
            <v>Prime</v>
          </cell>
          <cell r="V70" t="str">
            <v>Prime</v>
          </cell>
          <cell r="W70" t="str">
            <v>Prime</v>
          </cell>
          <cell r="X70" t="str">
            <v>Prime</v>
          </cell>
          <cell r="Y70" t="str">
            <v>Prime</v>
          </cell>
          <cell r="Z70" t="str">
            <v>Non-Prime</v>
          </cell>
          <cell r="AA70" t="str">
            <v>Non-Prime</v>
          </cell>
          <cell r="AB70" t="str">
            <v>Non-Prime</v>
          </cell>
          <cell r="AC70" t="str">
            <v>Non-Prime</v>
          </cell>
          <cell r="AD70" t="str">
            <v>Non-Prime</v>
          </cell>
          <cell r="AE70" t="str">
            <v>Non-Prime</v>
          </cell>
          <cell r="AF70" t="str">
            <v>Non-Prime</v>
          </cell>
        </row>
        <row r="71">
          <cell r="A71" t="str">
            <v>Fiji</v>
          </cell>
          <cell r="B71" t="str">
            <v>Non-Prime</v>
          </cell>
          <cell r="C71" t="str">
            <v>Non-Prime</v>
          </cell>
          <cell r="D71" t="str">
            <v>Non-Prime</v>
          </cell>
          <cell r="E71" t="str">
            <v>Non-Prime</v>
          </cell>
          <cell r="F71" t="str">
            <v>Non-Prime</v>
          </cell>
          <cell r="G71" t="str">
            <v>Non-Prime</v>
          </cell>
          <cell r="H71" t="str">
            <v>Non-Prime</v>
          </cell>
          <cell r="I71" t="str">
            <v>Non-Prime</v>
          </cell>
          <cell r="J71" t="str">
            <v>Non-Prime</v>
          </cell>
          <cell r="K71" t="str">
            <v>Non-Prime</v>
          </cell>
          <cell r="L71" t="str">
            <v>Non-Prime</v>
          </cell>
          <cell r="M71" t="str">
            <v>Non-Prime</v>
          </cell>
          <cell r="N71" t="str">
            <v>Non-Prime</v>
          </cell>
          <cell r="O71" t="str">
            <v>Non-Prime</v>
          </cell>
          <cell r="P71" t="str">
            <v>Non-Prime</v>
          </cell>
          <cell r="Q71" t="str">
            <v>Non-Prime</v>
          </cell>
          <cell r="R71" t="str">
            <v>Non-Prime</v>
          </cell>
          <cell r="S71" t="str">
            <v>Non-Prime</v>
          </cell>
          <cell r="T71" t="str">
            <v>Prime</v>
          </cell>
          <cell r="U71" t="str">
            <v>Prime</v>
          </cell>
          <cell r="V71" t="str">
            <v>Prime</v>
          </cell>
          <cell r="W71" t="str">
            <v>Prime</v>
          </cell>
          <cell r="X71" t="str">
            <v>Prime</v>
          </cell>
          <cell r="Y71" t="str">
            <v>Prime</v>
          </cell>
          <cell r="Z71" t="str">
            <v>Non-Prime</v>
          </cell>
          <cell r="AA71" t="str">
            <v>Non-Prime</v>
          </cell>
          <cell r="AB71" t="str">
            <v>Non-Prime</v>
          </cell>
          <cell r="AC71" t="str">
            <v>Non-Prime</v>
          </cell>
          <cell r="AD71" t="str">
            <v>Non-Prime</v>
          </cell>
          <cell r="AE71" t="str">
            <v>Non-Prime</v>
          </cell>
          <cell r="AF71" t="str">
            <v>Non-Prime</v>
          </cell>
        </row>
        <row r="72">
          <cell r="A72" t="str">
            <v>Finland</v>
          </cell>
          <cell r="B72" t="str">
            <v>Non-Prime</v>
          </cell>
          <cell r="C72" t="str">
            <v>Non-Prime</v>
          </cell>
          <cell r="D72" t="str">
            <v>Non-Prime</v>
          </cell>
          <cell r="E72" t="str">
            <v>Non-Prime</v>
          </cell>
          <cell r="F72" t="str">
            <v>Non-Prime</v>
          </cell>
          <cell r="G72" t="str">
            <v>Non-Prime</v>
          </cell>
          <cell r="H72" t="str">
            <v>Non-Prime</v>
          </cell>
          <cell r="I72" t="str">
            <v>Non-Prime</v>
          </cell>
          <cell r="J72" t="str">
            <v>Non-Prime</v>
          </cell>
          <cell r="K72" t="str">
            <v>Non-Prime</v>
          </cell>
          <cell r="L72" t="str">
            <v>Non-Prime</v>
          </cell>
          <cell r="M72" t="str">
            <v>Non-Prime</v>
          </cell>
          <cell r="N72" t="str">
            <v>Non-Prime</v>
          </cell>
          <cell r="O72" t="str">
            <v>Non-Prime</v>
          </cell>
          <cell r="P72" t="str">
            <v>Non-Prime</v>
          </cell>
          <cell r="Q72" t="str">
            <v>Non-Prime</v>
          </cell>
          <cell r="R72" t="str">
            <v>Non-Prime</v>
          </cell>
          <cell r="S72" t="str">
            <v>Non-Prime</v>
          </cell>
          <cell r="T72" t="str">
            <v>Prime</v>
          </cell>
          <cell r="U72" t="str">
            <v>Prime</v>
          </cell>
          <cell r="V72" t="str">
            <v>Prime</v>
          </cell>
          <cell r="W72" t="str">
            <v>Prime</v>
          </cell>
          <cell r="X72" t="str">
            <v>Prime</v>
          </cell>
          <cell r="Y72" t="str">
            <v>Prime</v>
          </cell>
          <cell r="Z72" t="str">
            <v>Non-Prime</v>
          </cell>
          <cell r="AA72" t="str">
            <v>Non-Prime</v>
          </cell>
          <cell r="AB72" t="str">
            <v>Non-Prime</v>
          </cell>
          <cell r="AC72" t="str">
            <v>Non-Prime</v>
          </cell>
          <cell r="AD72" t="str">
            <v>Non-Prime</v>
          </cell>
          <cell r="AE72" t="str">
            <v>Non-Prime</v>
          </cell>
          <cell r="AF72" t="str">
            <v>Non-Prime</v>
          </cell>
        </row>
        <row r="73">
          <cell r="A73" t="str">
            <v>France</v>
          </cell>
          <cell r="B73" t="str">
            <v>Non-Prime</v>
          </cell>
          <cell r="C73" t="str">
            <v>Non-Prime</v>
          </cell>
          <cell r="D73" t="str">
            <v>Non-Prime</v>
          </cell>
          <cell r="E73" t="str">
            <v>Non-Prime</v>
          </cell>
          <cell r="F73" t="str">
            <v>Non-Prime</v>
          </cell>
          <cell r="G73" t="str">
            <v>Non-Prime</v>
          </cell>
          <cell r="H73" t="str">
            <v>Non-Prime</v>
          </cell>
          <cell r="I73" t="str">
            <v>Non-Prime</v>
          </cell>
          <cell r="J73" t="str">
            <v>Non-Prime</v>
          </cell>
          <cell r="K73" t="str">
            <v>Non-Prime</v>
          </cell>
          <cell r="L73" t="str">
            <v>Non-Prime</v>
          </cell>
          <cell r="M73" t="str">
            <v>Non-Prime</v>
          </cell>
          <cell r="N73" t="str">
            <v>Non-Prime</v>
          </cell>
          <cell r="O73" t="str">
            <v>Non-Prime</v>
          </cell>
          <cell r="P73" t="str">
            <v>Non-Prime</v>
          </cell>
          <cell r="Q73" t="str">
            <v>Non-Prime</v>
          </cell>
          <cell r="R73" t="str">
            <v>Non-Prime</v>
          </cell>
          <cell r="S73" t="str">
            <v>Non-Prime</v>
          </cell>
          <cell r="T73" t="str">
            <v>Non-Prime</v>
          </cell>
          <cell r="U73" t="str">
            <v>Prime</v>
          </cell>
          <cell r="V73" t="str">
            <v>Prime</v>
          </cell>
          <cell r="W73" t="str">
            <v>Prime</v>
          </cell>
          <cell r="X73" t="str">
            <v>Prime</v>
          </cell>
          <cell r="Y73" t="str">
            <v>Non-Prime</v>
          </cell>
          <cell r="Z73" t="str">
            <v>Non-Prime</v>
          </cell>
          <cell r="AA73" t="str">
            <v>Non-Prime</v>
          </cell>
          <cell r="AB73" t="str">
            <v>Non-Prime</v>
          </cell>
          <cell r="AC73" t="str">
            <v>Non-Prime</v>
          </cell>
          <cell r="AD73" t="str">
            <v>Non-Prime</v>
          </cell>
          <cell r="AE73" t="str">
            <v>Non-Prime</v>
          </cell>
          <cell r="AF73" t="str">
            <v>Non-Prime</v>
          </cell>
        </row>
        <row r="74">
          <cell r="A74" t="str">
            <v>French Guiana</v>
          </cell>
          <cell r="B74" t="str">
            <v>Non-Prime</v>
          </cell>
          <cell r="C74" t="str">
            <v>Non-Prime</v>
          </cell>
          <cell r="D74" t="str">
            <v>Non-Prime</v>
          </cell>
          <cell r="E74" t="str">
            <v>Non-Prime</v>
          </cell>
          <cell r="F74" t="str">
            <v>Non-Prime</v>
          </cell>
          <cell r="G74" t="str">
            <v>Non-Prime</v>
          </cell>
          <cell r="H74" t="str">
            <v>Non-Prime</v>
          </cell>
          <cell r="I74" t="str">
            <v>Non-Prime</v>
          </cell>
          <cell r="J74" t="str">
            <v>Non-Prime</v>
          </cell>
          <cell r="K74" t="str">
            <v>Non-Prime</v>
          </cell>
          <cell r="L74" t="str">
            <v>Non-Prime</v>
          </cell>
          <cell r="M74" t="str">
            <v>Non-Prime</v>
          </cell>
          <cell r="N74" t="str">
            <v>Non-Prime</v>
          </cell>
          <cell r="O74" t="str">
            <v>Non-Prime</v>
          </cell>
          <cell r="P74" t="str">
            <v>Non-Prime</v>
          </cell>
          <cell r="Q74" t="str">
            <v>Non-Prime</v>
          </cell>
          <cell r="R74" t="str">
            <v>Non-Prime</v>
          </cell>
          <cell r="S74" t="str">
            <v>Non-Prime</v>
          </cell>
          <cell r="T74" t="str">
            <v>Prime</v>
          </cell>
          <cell r="U74" t="str">
            <v>Prime</v>
          </cell>
          <cell r="V74" t="str">
            <v>Prime</v>
          </cell>
          <cell r="W74" t="str">
            <v>Prime</v>
          </cell>
          <cell r="X74" t="str">
            <v>Prime</v>
          </cell>
          <cell r="Y74" t="str">
            <v>Prime</v>
          </cell>
          <cell r="Z74" t="str">
            <v>Non-Prime</v>
          </cell>
          <cell r="AA74" t="str">
            <v>Non-Prime</v>
          </cell>
          <cell r="AB74" t="str">
            <v>Non-Prime</v>
          </cell>
          <cell r="AC74" t="str">
            <v>Non-Prime</v>
          </cell>
          <cell r="AD74" t="str">
            <v>Non-Prime</v>
          </cell>
          <cell r="AE74" t="str">
            <v>Non-Prime</v>
          </cell>
          <cell r="AF74" t="str">
            <v>Non-Prime</v>
          </cell>
        </row>
        <row r="75">
          <cell r="A75" t="str">
            <v>French Polynesia / Tahiti</v>
          </cell>
          <cell r="B75" t="str">
            <v>Non-Prime</v>
          </cell>
          <cell r="C75" t="str">
            <v>Non-Prime</v>
          </cell>
          <cell r="D75" t="str">
            <v>Non-Prime</v>
          </cell>
          <cell r="E75" t="str">
            <v>Non-Prime</v>
          </cell>
          <cell r="F75" t="str">
            <v>Non-Prime</v>
          </cell>
          <cell r="G75" t="str">
            <v>Non-Prime</v>
          </cell>
          <cell r="H75" t="str">
            <v>Non-Prime</v>
          </cell>
          <cell r="I75" t="str">
            <v>Non-Prime</v>
          </cell>
          <cell r="J75" t="str">
            <v>Non-Prime</v>
          </cell>
          <cell r="K75" t="str">
            <v>Non-Prime</v>
          </cell>
          <cell r="L75" t="str">
            <v>Non-Prime</v>
          </cell>
          <cell r="M75" t="str">
            <v>Non-Prime</v>
          </cell>
          <cell r="N75" t="str">
            <v>Non-Prime</v>
          </cell>
          <cell r="O75" t="str">
            <v>Non-Prime</v>
          </cell>
          <cell r="P75" t="str">
            <v>Non-Prime</v>
          </cell>
          <cell r="Q75" t="str">
            <v>Non-Prime</v>
          </cell>
          <cell r="R75" t="str">
            <v>Non-Prime</v>
          </cell>
          <cell r="S75" t="str">
            <v>Non-Prime</v>
          </cell>
          <cell r="T75" t="str">
            <v>Prime</v>
          </cell>
          <cell r="U75" t="str">
            <v>Prime</v>
          </cell>
          <cell r="V75" t="str">
            <v>Prime</v>
          </cell>
          <cell r="W75" t="str">
            <v>Prime</v>
          </cell>
          <cell r="X75" t="str">
            <v>Prime</v>
          </cell>
          <cell r="Y75" t="str">
            <v>Prime</v>
          </cell>
          <cell r="Z75" t="str">
            <v>Non-Prime</v>
          </cell>
          <cell r="AA75" t="str">
            <v>Non-Prime</v>
          </cell>
          <cell r="AB75" t="str">
            <v>Non-Prime</v>
          </cell>
          <cell r="AC75" t="str">
            <v>Non-Prime</v>
          </cell>
          <cell r="AD75" t="str">
            <v>Non-Prime</v>
          </cell>
          <cell r="AE75" t="str">
            <v>Non-Prime</v>
          </cell>
          <cell r="AF75" t="str">
            <v>Non-Prime</v>
          </cell>
        </row>
        <row r="76">
          <cell r="A76" t="str">
            <v>Gabon</v>
          </cell>
          <cell r="B76" t="str">
            <v>Non-Prime</v>
          </cell>
          <cell r="C76" t="str">
            <v>Non-Prime</v>
          </cell>
          <cell r="D76" t="str">
            <v>Non-Prime</v>
          </cell>
          <cell r="E76" t="str">
            <v>Non-Prime</v>
          </cell>
          <cell r="F76" t="str">
            <v>Non-Prime</v>
          </cell>
          <cell r="G76" t="str">
            <v>Non-Prime</v>
          </cell>
          <cell r="H76" t="str">
            <v>Non-Prime</v>
          </cell>
          <cell r="I76" t="str">
            <v>Non-Prime</v>
          </cell>
          <cell r="J76" t="str">
            <v>Non-Prime</v>
          </cell>
          <cell r="K76" t="str">
            <v>Non-Prime</v>
          </cell>
          <cell r="L76" t="str">
            <v>Non-Prime</v>
          </cell>
          <cell r="M76" t="str">
            <v>Non-Prime</v>
          </cell>
          <cell r="N76" t="str">
            <v>Non-Prime</v>
          </cell>
          <cell r="O76" t="str">
            <v>Non-Prime</v>
          </cell>
          <cell r="P76" t="str">
            <v>Non-Prime</v>
          </cell>
          <cell r="Q76" t="str">
            <v>Non-Prime</v>
          </cell>
          <cell r="R76" t="str">
            <v>Non-Prime</v>
          </cell>
          <cell r="S76" t="str">
            <v>Non-Prime</v>
          </cell>
          <cell r="T76" t="str">
            <v>Prime</v>
          </cell>
          <cell r="U76" t="str">
            <v>Prime</v>
          </cell>
          <cell r="V76" t="str">
            <v>Prime</v>
          </cell>
          <cell r="W76" t="str">
            <v>Prime</v>
          </cell>
          <cell r="X76" t="str">
            <v>Prime</v>
          </cell>
          <cell r="Y76" t="str">
            <v>Prime</v>
          </cell>
          <cell r="Z76" t="str">
            <v>Non-Prime</v>
          </cell>
          <cell r="AA76" t="str">
            <v>Non-Prime</v>
          </cell>
          <cell r="AB76" t="str">
            <v>Non-Prime</v>
          </cell>
          <cell r="AC76" t="str">
            <v>Non-Prime</v>
          </cell>
          <cell r="AD76" t="str">
            <v>Non-Prime</v>
          </cell>
          <cell r="AE76" t="str">
            <v>Non-Prime</v>
          </cell>
          <cell r="AF76" t="str">
            <v>Non-Prime</v>
          </cell>
        </row>
        <row r="77">
          <cell r="A77" t="str">
            <v>Georgia</v>
          </cell>
          <cell r="B77" t="str">
            <v>Non-Prime</v>
          </cell>
          <cell r="C77" t="str">
            <v>Non-Prime</v>
          </cell>
          <cell r="D77" t="str">
            <v>Non-Prime</v>
          </cell>
          <cell r="E77" t="str">
            <v>Non-Prime</v>
          </cell>
          <cell r="F77" t="str">
            <v>Non-Prime</v>
          </cell>
          <cell r="G77" t="str">
            <v>Non-Prime</v>
          </cell>
          <cell r="H77" t="str">
            <v>Non-Prime</v>
          </cell>
          <cell r="I77" t="str">
            <v>Non-Prime</v>
          </cell>
          <cell r="J77" t="str">
            <v>Non-Prime</v>
          </cell>
          <cell r="K77" t="str">
            <v>Non-Prime</v>
          </cell>
          <cell r="L77" t="str">
            <v>Non-Prime</v>
          </cell>
          <cell r="M77" t="str">
            <v>Non-Prime</v>
          </cell>
          <cell r="N77" t="str">
            <v>Non-Prime</v>
          </cell>
          <cell r="O77" t="str">
            <v>Non-Prime</v>
          </cell>
          <cell r="P77" t="str">
            <v>Non-Prime</v>
          </cell>
          <cell r="Q77" t="str">
            <v>Non-Prime</v>
          </cell>
          <cell r="R77" t="str">
            <v>Non-Prime</v>
          </cell>
          <cell r="S77" t="str">
            <v>Non-Prime</v>
          </cell>
          <cell r="T77" t="str">
            <v>Non-Prime</v>
          </cell>
          <cell r="U77" t="str">
            <v>Non-Prime</v>
          </cell>
          <cell r="V77" t="str">
            <v>Prime</v>
          </cell>
          <cell r="W77" t="str">
            <v>Prime</v>
          </cell>
          <cell r="X77" t="str">
            <v>Prime</v>
          </cell>
          <cell r="Y77" t="str">
            <v>Prime</v>
          </cell>
          <cell r="Z77" t="str">
            <v>Non-Prime</v>
          </cell>
          <cell r="AA77" t="str">
            <v>Non-Prime</v>
          </cell>
          <cell r="AB77" t="str">
            <v>Non-Prime</v>
          </cell>
          <cell r="AC77" t="str">
            <v>Non-Prime</v>
          </cell>
          <cell r="AD77" t="str">
            <v>Non-Prime</v>
          </cell>
          <cell r="AE77" t="str">
            <v>Non-Prime</v>
          </cell>
          <cell r="AF77" t="str">
            <v>Non-Prime</v>
          </cell>
        </row>
        <row r="78">
          <cell r="A78" t="str">
            <v>Germany</v>
          </cell>
          <cell r="B78" t="str">
            <v>Non-Prime</v>
          </cell>
          <cell r="C78" t="str">
            <v>Non-Prime</v>
          </cell>
          <cell r="D78" t="str">
            <v>Non-Prime</v>
          </cell>
          <cell r="E78" t="str">
            <v>Non-Prime</v>
          </cell>
          <cell r="F78" t="str">
            <v>Non-Prime</v>
          </cell>
          <cell r="G78" t="str">
            <v>Non-Prime</v>
          </cell>
          <cell r="H78" t="str">
            <v>Non-Prime</v>
          </cell>
          <cell r="I78" t="str">
            <v>Non-Prime</v>
          </cell>
          <cell r="J78" t="str">
            <v>Non-Prime</v>
          </cell>
          <cell r="K78" t="str">
            <v>Non-Prime</v>
          </cell>
          <cell r="L78" t="str">
            <v>Non-Prime</v>
          </cell>
          <cell r="M78" t="str">
            <v>Non-Prime</v>
          </cell>
          <cell r="N78" t="str">
            <v>Non-Prime</v>
          </cell>
          <cell r="O78" t="str">
            <v>Non-Prime</v>
          </cell>
          <cell r="P78" t="str">
            <v>Non-Prime</v>
          </cell>
          <cell r="Q78" t="str">
            <v>Non-Prime</v>
          </cell>
          <cell r="R78" t="str">
            <v>Non-Prime</v>
          </cell>
          <cell r="S78" t="str">
            <v>Non-Prime</v>
          </cell>
          <cell r="T78" t="str">
            <v>Non-Prime</v>
          </cell>
          <cell r="U78" t="str">
            <v>Prime</v>
          </cell>
          <cell r="V78" t="str">
            <v>Prime</v>
          </cell>
          <cell r="W78" t="str">
            <v>Prime</v>
          </cell>
          <cell r="X78" t="str">
            <v>Prime</v>
          </cell>
          <cell r="Y78" t="str">
            <v>Non-Prime</v>
          </cell>
          <cell r="Z78" t="str">
            <v>Non-Prime</v>
          </cell>
          <cell r="AA78" t="str">
            <v>Non-Prime</v>
          </cell>
          <cell r="AB78" t="str">
            <v>Non-Prime</v>
          </cell>
          <cell r="AC78" t="str">
            <v>Non-Prime</v>
          </cell>
          <cell r="AD78" t="str">
            <v>Non-Prime</v>
          </cell>
          <cell r="AE78" t="str">
            <v>Non-Prime</v>
          </cell>
          <cell r="AF78" t="str">
            <v>Non-Prime</v>
          </cell>
        </row>
        <row r="79">
          <cell r="A79" t="str">
            <v>Greece</v>
          </cell>
          <cell r="B79" t="str">
            <v>Non-Prime</v>
          </cell>
          <cell r="C79" t="str">
            <v>Non-Prime</v>
          </cell>
          <cell r="D79" t="str">
            <v>Non-Prime</v>
          </cell>
          <cell r="E79" t="str">
            <v>Non-Prime</v>
          </cell>
          <cell r="F79" t="str">
            <v>Non-Prime</v>
          </cell>
          <cell r="G79" t="str">
            <v>Non-Prime</v>
          </cell>
          <cell r="H79" t="str">
            <v>Non-Prime</v>
          </cell>
          <cell r="I79" t="str">
            <v>Non-Prime</v>
          </cell>
          <cell r="J79" t="str">
            <v>Non-Prime</v>
          </cell>
          <cell r="K79" t="str">
            <v>Non-Prime</v>
          </cell>
          <cell r="L79" t="str">
            <v>Non-Prime</v>
          </cell>
          <cell r="M79" t="str">
            <v>Non-Prime</v>
          </cell>
          <cell r="N79" t="str">
            <v>Non-Prime</v>
          </cell>
          <cell r="O79" t="str">
            <v>Non-Prime</v>
          </cell>
          <cell r="P79" t="str">
            <v>Non-Prime</v>
          </cell>
          <cell r="Q79" t="str">
            <v>Non-Prime</v>
          </cell>
          <cell r="R79" t="str">
            <v>Non-Prime</v>
          </cell>
          <cell r="S79" t="str">
            <v>Non-Prime</v>
          </cell>
          <cell r="T79" t="str">
            <v>Non-Prime</v>
          </cell>
          <cell r="U79" t="str">
            <v>Non-Prime</v>
          </cell>
          <cell r="V79" t="str">
            <v>Prime</v>
          </cell>
          <cell r="W79" t="str">
            <v>Prime</v>
          </cell>
          <cell r="X79" t="str">
            <v>Prime</v>
          </cell>
          <cell r="Y79" t="str">
            <v>Prime</v>
          </cell>
          <cell r="Z79" t="str">
            <v>Non-Prime</v>
          </cell>
          <cell r="AA79" t="str">
            <v>Non-Prime</v>
          </cell>
          <cell r="AB79" t="str">
            <v>Non-Prime</v>
          </cell>
          <cell r="AC79" t="str">
            <v>Non-Prime</v>
          </cell>
          <cell r="AD79" t="str">
            <v>Non-Prime</v>
          </cell>
          <cell r="AE79" t="str">
            <v>Non-Prime</v>
          </cell>
          <cell r="AF79" t="str">
            <v>Non-Prime</v>
          </cell>
        </row>
        <row r="80">
          <cell r="A80" t="str">
            <v>Greenland</v>
          </cell>
          <cell r="B80" t="str">
            <v>Non-Prime</v>
          </cell>
          <cell r="C80" t="str">
            <v>Non-Prime</v>
          </cell>
          <cell r="D80" t="str">
            <v>Non-Prime</v>
          </cell>
          <cell r="E80" t="str">
            <v>Non-Prime</v>
          </cell>
          <cell r="F80" t="str">
            <v>Non-Prime</v>
          </cell>
          <cell r="G80" t="str">
            <v>Non-Prime</v>
          </cell>
          <cell r="H80" t="str">
            <v>Non-Prime</v>
          </cell>
          <cell r="I80" t="str">
            <v>Non-Prime</v>
          </cell>
          <cell r="J80" t="str">
            <v>Non-Prime</v>
          </cell>
          <cell r="K80" t="str">
            <v>Non-Prime</v>
          </cell>
          <cell r="L80" t="str">
            <v>Non-Prime</v>
          </cell>
          <cell r="M80" t="str">
            <v>Non-Prime</v>
          </cell>
          <cell r="N80" t="str">
            <v>Non-Prime</v>
          </cell>
          <cell r="O80" t="str">
            <v>Non-Prime</v>
          </cell>
          <cell r="P80" t="str">
            <v>Non-Prime</v>
          </cell>
          <cell r="Q80" t="str">
            <v>Non-Prime</v>
          </cell>
          <cell r="R80" t="str">
            <v>Non-Prime</v>
          </cell>
          <cell r="S80" t="str">
            <v>Non-Prime</v>
          </cell>
          <cell r="T80" t="str">
            <v>Non-Prime</v>
          </cell>
          <cell r="U80" t="str">
            <v>Non-Prime</v>
          </cell>
          <cell r="V80" t="str">
            <v>Prime</v>
          </cell>
          <cell r="W80" t="str">
            <v>Prime</v>
          </cell>
          <cell r="X80" t="str">
            <v>Prime</v>
          </cell>
          <cell r="Y80" t="str">
            <v>Prime</v>
          </cell>
          <cell r="Z80" t="str">
            <v>Non-Prime</v>
          </cell>
          <cell r="AA80" t="str">
            <v>Non-Prime</v>
          </cell>
          <cell r="AB80" t="str">
            <v>Non-Prime</v>
          </cell>
          <cell r="AC80" t="str">
            <v>Non-Prime</v>
          </cell>
          <cell r="AD80" t="str">
            <v>Non-Prime</v>
          </cell>
          <cell r="AE80" t="str">
            <v>Non-Prime</v>
          </cell>
          <cell r="AF80" t="str">
            <v>Non-Prime</v>
          </cell>
        </row>
        <row r="81">
          <cell r="A81" t="str">
            <v>Grenada</v>
          </cell>
          <cell r="B81" t="str">
            <v>Non-Prime</v>
          </cell>
          <cell r="C81" t="str">
            <v>Non-Prime</v>
          </cell>
          <cell r="D81" t="str">
            <v>Non-Prime</v>
          </cell>
          <cell r="E81" t="str">
            <v>Non-Prime</v>
          </cell>
          <cell r="F81" t="str">
            <v>Non-Prime</v>
          </cell>
          <cell r="G81" t="str">
            <v>Non-Prime</v>
          </cell>
          <cell r="H81" t="str">
            <v>Non-Prime</v>
          </cell>
          <cell r="I81" t="str">
            <v>Non-Prime</v>
          </cell>
          <cell r="J81" t="str">
            <v>Non-Prime</v>
          </cell>
          <cell r="K81" t="str">
            <v>Non-Prime</v>
          </cell>
          <cell r="L81" t="str">
            <v>Non-Prime</v>
          </cell>
          <cell r="M81" t="str">
            <v>Non-Prime</v>
          </cell>
          <cell r="N81" t="str">
            <v>Non-Prime</v>
          </cell>
          <cell r="O81" t="str">
            <v>Non-Prime</v>
          </cell>
          <cell r="P81" t="str">
            <v>Non-Prime</v>
          </cell>
          <cell r="Q81" t="str">
            <v>Non-Prime</v>
          </cell>
          <cell r="R81" t="str">
            <v>Non-Prime</v>
          </cell>
          <cell r="S81" t="str">
            <v>Non-Prime</v>
          </cell>
          <cell r="T81" t="str">
            <v>Prime</v>
          </cell>
          <cell r="U81" t="str">
            <v>Prime</v>
          </cell>
          <cell r="V81" t="str">
            <v>Prime</v>
          </cell>
          <cell r="W81" t="str">
            <v>Prime</v>
          </cell>
          <cell r="X81" t="str">
            <v>Prime</v>
          </cell>
          <cell r="Y81" t="str">
            <v>Prime</v>
          </cell>
          <cell r="Z81" t="str">
            <v>Non-Prime</v>
          </cell>
          <cell r="AA81" t="str">
            <v>Non-Prime</v>
          </cell>
          <cell r="AB81" t="str">
            <v>Non-Prime</v>
          </cell>
          <cell r="AC81" t="str">
            <v>Non-Prime</v>
          </cell>
          <cell r="AD81" t="str">
            <v>Non-Prime</v>
          </cell>
          <cell r="AE81" t="str">
            <v>Non-Prime</v>
          </cell>
          <cell r="AF81" t="str">
            <v>Non-Prime</v>
          </cell>
        </row>
        <row r="82">
          <cell r="A82" t="str">
            <v>Guadeloupe</v>
          </cell>
          <cell r="B82" t="str">
            <v>Non-Prime</v>
          </cell>
          <cell r="C82" t="str">
            <v>Non-Prime</v>
          </cell>
          <cell r="D82" t="str">
            <v>Non-Prime</v>
          </cell>
          <cell r="E82" t="str">
            <v>Non-Prime</v>
          </cell>
          <cell r="F82" t="str">
            <v>Non-Prime</v>
          </cell>
          <cell r="G82" t="str">
            <v>Non-Prime</v>
          </cell>
          <cell r="H82" t="str">
            <v>Non-Prime</v>
          </cell>
          <cell r="I82" t="str">
            <v>Non-Prime</v>
          </cell>
          <cell r="J82" t="str">
            <v>Non-Prime</v>
          </cell>
          <cell r="K82" t="str">
            <v>Non-Prime</v>
          </cell>
          <cell r="L82" t="str">
            <v>Non-Prime</v>
          </cell>
          <cell r="M82" t="str">
            <v>Non-Prime</v>
          </cell>
          <cell r="N82" t="str">
            <v>Non-Prime</v>
          </cell>
          <cell r="O82" t="str">
            <v>Non-Prime</v>
          </cell>
          <cell r="P82" t="str">
            <v>Non-Prime</v>
          </cell>
          <cell r="Q82" t="str">
            <v>Non-Prime</v>
          </cell>
          <cell r="R82" t="str">
            <v>Non-Prime</v>
          </cell>
          <cell r="S82" t="str">
            <v>Non-Prime</v>
          </cell>
          <cell r="T82" t="str">
            <v>Prime</v>
          </cell>
          <cell r="U82" t="str">
            <v>Prime</v>
          </cell>
          <cell r="V82" t="str">
            <v>Prime</v>
          </cell>
          <cell r="W82" t="str">
            <v>Prime</v>
          </cell>
          <cell r="X82" t="str">
            <v>Prime</v>
          </cell>
          <cell r="Y82" t="str">
            <v>Prime</v>
          </cell>
          <cell r="Z82" t="str">
            <v>Non-Prime</v>
          </cell>
          <cell r="AA82" t="str">
            <v>Non-Prime</v>
          </cell>
          <cell r="AB82" t="str">
            <v>Non-Prime</v>
          </cell>
          <cell r="AC82" t="str">
            <v>Non-Prime</v>
          </cell>
          <cell r="AD82" t="str">
            <v>Non-Prime</v>
          </cell>
          <cell r="AE82" t="str">
            <v>Non-Prime</v>
          </cell>
          <cell r="AF82" t="str">
            <v>Non-Prime</v>
          </cell>
        </row>
        <row r="83">
          <cell r="A83" t="str">
            <v>Guam</v>
          </cell>
          <cell r="B83" t="str">
            <v>Non-Prime</v>
          </cell>
          <cell r="C83" t="str">
            <v>Non-Prime</v>
          </cell>
          <cell r="D83" t="str">
            <v>Non-Prime</v>
          </cell>
          <cell r="E83" t="str">
            <v>Non-Prime</v>
          </cell>
          <cell r="F83" t="str">
            <v>Non-Prime</v>
          </cell>
          <cell r="G83" t="str">
            <v>Non-Prime</v>
          </cell>
          <cell r="H83" t="str">
            <v>Non-Prime</v>
          </cell>
          <cell r="I83" t="str">
            <v>Non-Prime</v>
          </cell>
          <cell r="J83" t="str">
            <v>Non-Prime</v>
          </cell>
          <cell r="K83" t="str">
            <v>Non-Prime</v>
          </cell>
          <cell r="L83" t="str">
            <v>Non-Prime</v>
          </cell>
          <cell r="M83" t="str">
            <v>Non-Prime</v>
          </cell>
          <cell r="N83" t="str">
            <v>Non-Prime</v>
          </cell>
          <cell r="O83" t="str">
            <v>Non-Prime</v>
          </cell>
          <cell r="P83" t="str">
            <v>Non-Prime</v>
          </cell>
          <cell r="Q83" t="str">
            <v>Non-Prime</v>
          </cell>
          <cell r="R83" t="str">
            <v>Non-Prime</v>
          </cell>
          <cell r="S83" t="str">
            <v>Non-Prime</v>
          </cell>
          <cell r="T83" t="str">
            <v>Prime</v>
          </cell>
          <cell r="U83" t="str">
            <v>Prime</v>
          </cell>
          <cell r="V83" t="str">
            <v>Prime</v>
          </cell>
          <cell r="W83" t="str">
            <v>Prime</v>
          </cell>
          <cell r="X83" t="str">
            <v>Prime</v>
          </cell>
          <cell r="Y83" t="str">
            <v>Prime</v>
          </cell>
          <cell r="Z83" t="str">
            <v>Non-Prime</v>
          </cell>
          <cell r="AA83" t="str">
            <v>Non-Prime</v>
          </cell>
          <cell r="AB83" t="str">
            <v>Non-Prime</v>
          </cell>
          <cell r="AC83" t="str">
            <v>Non-Prime</v>
          </cell>
          <cell r="AD83" t="str">
            <v>Non-Prime</v>
          </cell>
          <cell r="AE83" t="str">
            <v>Non-Prime</v>
          </cell>
          <cell r="AF83" t="str">
            <v>Non-Prime</v>
          </cell>
        </row>
        <row r="84">
          <cell r="A84" t="str">
            <v>Guatemala</v>
          </cell>
          <cell r="B84" t="str">
            <v>Non-Prime</v>
          </cell>
          <cell r="C84" t="str">
            <v>Non-Prime</v>
          </cell>
          <cell r="D84" t="str">
            <v>Non-Prime</v>
          </cell>
          <cell r="E84" t="str">
            <v>Non-Prime</v>
          </cell>
          <cell r="F84" t="str">
            <v>Non-Prime</v>
          </cell>
          <cell r="G84" t="str">
            <v>Non-Prime</v>
          </cell>
          <cell r="H84" t="str">
            <v>Non-Prime</v>
          </cell>
          <cell r="I84" t="str">
            <v>Non-Prime</v>
          </cell>
          <cell r="J84" t="str">
            <v>Non-Prime</v>
          </cell>
          <cell r="K84" t="str">
            <v>Non-Prime</v>
          </cell>
          <cell r="L84" t="str">
            <v>Non-Prime</v>
          </cell>
          <cell r="M84" t="str">
            <v>Non-Prime</v>
          </cell>
          <cell r="N84" t="str">
            <v>Non-Prime</v>
          </cell>
          <cell r="O84" t="str">
            <v>Non-Prime</v>
          </cell>
          <cell r="P84" t="str">
            <v>Non-Prime</v>
          </cell>
          <cell r="Q84" t="str">
            <v>Non-Prime</v>
          </cell>
          <cell r="R84" t="str">
            <v>Non-Prime</v>
          </cell>
          <cell r="S84" t="str">
            <v>Non-Prime</v>
          </cell>
          <cell r="T84" t="str">
            <v>Prime</v>
          </cell>
          <cell r="U84" t="str">
            <v>Prime</v>
          </cell>
          <cell r="V84" t="str">
            <v>Prime</v>
          </cell>
          <cell r="W84" t="str">
            <v>Prime</v>
          </cell>
          <cell r="X84" t="str">
            <v>Prime</v>
          </cell>
          <cell r="Y84" t="str">
            <v>Prime</v>
          </cell>
          <cell r="Z84" t="str">
            <v>Non-Prime</v>
          </cell>
          <cell r="AA84" t="str">
            <v>Non-Prime</v>
          </cell>
          <cell r="AB84" t="str">
            <v>Non-Prime</v>
          </cell>
          <cell r="AC84" t="str">
            <v>Non-Prime</v>
          </cell>
          <cell r="AD84" t="str">
            <v>Non-Prime</v>
          </cell>
          <cell r="AE84" t="str">
            <v>Non-Prime</v>
          </cell>
          <cell r="AF84" t="str">
            <v>Non-Prime</v>
          </cell>
        </row>
        <row r="85">
          <cell r="A85" t="str">
            <v>Guernsey</v>
          </cell>
          <cell r="B85" t="str">
            <v>Non-Prime</v>
          </cell>
          <cell r="C85" t="str">
            <v>Non-Prime</v>
          </cell>
          <cell r="D85" t="str">
            <v>Non-Prime</v>
          </cell>
          <cell r="E85" t="str">
            <v>Non-Prime</v>
          </cell>
          <cell r="F85" t="str">
            <v>Non-Prime</v>
          </cell>
          <cell r="G85" t="str">
            <v>Non-Prime</v>
          </cell>
          <cell r="H85" t="str">
            <v>Non-Prime</v>
          </cell>
          <cell r="I85" t="str">
            <v>Non-Prime</v>
          </cell>
          <cell r="J85" t="str">
            <v>Non-Prime</v>
          </cell>
          <cell r="K85" t="str">
            <v>Non-Prime</v>
          </cell>
          <cell r="L85" t="str">
            <v>Non-Prime</v>
          </cell>
          <cell r="M85" t="str">
            <v>Non-Prime</v>
          </cell>
          <cell r="N85" t="str">
            <v>Non-Prime</v>
          </cell>
          <cell r="O85" t="str">
            <v>Non-Prime</v>
          </cell>
          <cell r="P85" t="str">
            <v>Non-Prime</v>
          </cell>
          <cell r="Q85" t="str">
            <v>Non-Prime</v>
          </cell>
          <cell r="R85" t="str">
            <v>Non-Prime</v>
          </cell>
          <cell r="S85" t="str">
            <v>Non-Prime</v>
          </cell>
          <cell r="T85" t="str">
            <v>Prime</v>
          </cell>
          <cell r="U85" t="str">
            <v>Prime</v>
          </cell>
          <cell r="V85" t="str">
            <v>Prime</v>
          </cell>
          <cell r="W85" t="str">
            <v>Prime</v>
          </cell>
          <cell r="X85" t="str">
            <v>Prime</v>
          </cell>
          <cell r="Y85" t="str">
            <v>Non-Prime</v>
          </cell>
          <cell r="Z85" t="str">
            <v>Non-Prime</v>
          </cell>
          <cell r="AA85" t="str">
            <v>Non-Prime</v>
          </cell>
          <cell r="AB85" t="str">
            <v>Non-Prime</v>
          </cell>
          <cell r="AC85" t="str">
            <v>Non-Prime</v>
          </cell>
          <cell r="AD85" t="str">
            <v>Non-Prime</v>
          </cell>
          <cell r="AE85" t="str">
            <v>Non-Prime</v>
          </cell>
          <cell r="AF85" t="str">
            <v>Non-Prime</v>
          </cell>
        </row>
        <row r="86">
          <cell r="A86" t="str">
            <v>Guinea</v>
          </cell>
          <cell r="B86" t="str">
            <v>Non-Prime</v>
          </cell>
          <cell r="C86" t="str">
            <v>Non-Prime</v>
          </cell>
          <cell r="D86" t="str">
            <v>Non-Prime</v>
          </cell>
          <cell r="E86" t="str">
            <v>Non-Prime</v>
          </cell>
          <cell r="F86" t="str">
            <v>Non-Prime</v>
          </cell>
          <cell r="G86" t="str">
            <v>Non-Prime</v>
          </cell>
          <cell r="H86" t="str">
            <v>Non-Prime</v>
          </cell>
          <cell r="I86" t="str">
            <v>Non-Prime</v>
          </cell>
          <cell r="J86" t="str">
            <v>Non-Prime</v>
          </cell>
          <cell r="K86" t="str">
            <v>Non-Prime</v>
          </cell>
          <cell r="L86" t="str">
            <v>Non-Prime</v>
          </cell>
          <cell r="M86" t="str">
            <v>Non-Prime</v>
          </cell>
          <cell r="N86" t="str">
            <v>Non-Prime</v>
          </cell>
          <cell r="O86" t="str">
            <v>Non-Prime</v>
          </cell>
          <cell r="P86" t="str">
            <v>Non-Prime</v>
          </cell>
          <cell r="Q86" t="str">
            <v>Non-Prime</v>
          </cell>
          <cell r="R86" t="str">
            <v>Non-Prime</v>
          </cell>
          <cell r="S86" t="str">
            <v>Non-Prime</v>
          </cell>
          <cell r="T86" t="str">
            <v>Prime</v>
          </cell>
          <cell r="U86" t="str">
            <v>Prime</v>
          </cell>
          <cell r="V86" t="str">
            <v>Prime</v>
          </cell>
          <cell r="W86" t="str">
            <v>Prime</v>
          </cell>
          <cell r="X86" t="str">
            <v>Prime</v>
          </cell>
          <cell r="Y86" t="str">
            <v>Prime</v>
          </cell>
          <cell r="Z86" t="str">
            <v>Non-Prime</v>
          </cell>
          <cell r="AA86" t="str">
            <v>Non-Prime</v>
          </cell>
          <cell r="AB86" t="str">
            <v>Non-Prime</v>
          </cell>
          <cell r="AC86" t="str">
            <v>Non-Prime</v>
          </cell>
          <cell r="AD86" t="str">
            <v>Non-Prime</v>
          </cell>
          <cell r="AE86" t="str">
            <v>Non-Prime</v>
          </cell>
          <cell r="AF86" t="str">
            <v>Non-Prime</v>
          </cell>
        </row>
        <row r="87">
          <cell r="A87" t="str">
            <v>Guinea-Bissau</v>
          </cell>
          <cell r="B87" t="str">
            <v>Non-Prime</v>
          </cell>
          <cell r="C87" t="str">
            <v>Non-Prime</v>
          </cell>
          <cell r="D87" t="str">
            <v>Non-Prime</v>
          </cell>
          <cell r="E87" t="str">
            <v>Non-Prime</v>
          </cell>
          <cell r="F87" t="str">
            <v>Non-Prime</v>
          </cell>
          <cell r="G87" t="str">
            <v>Non-Prime</v>
          </cell>
          <cell r="H87" t="str">
            <v>Non-Prime</v>
          </cell>
          <cell r="I87" t="str">
            <v>Non-Prime</v>
          </cell>
          <cell r="J87" t="str">
            <v>Non-Prime</v>
          </cell>
          <cell r="K87" t="str">
            <v>Non-Prime</v>
          </cell>
          <cell r="L87" t="str">
            <v>Non-Prime</v>
          </cell>
          <cell r="M87" t="str">
            <v>Non-Prime</v>
          </cell>
          <cell r="N87" t="str">
            <v>Non-Prime</v>
          </cell>
          <cell r="O87" t="str">
            <v>Non-Prime</v>
          </cell>
          <cell r="P87" t="str">
            <v>Non-Prime</v>
          </cell>
          <cell r="Q87" t="str">
            <v>Non-Prime</v>
          </cell>
          <cell r="R87" t="str">
            <v>Non-Prime</v>
          </cell>
          <cell r="S87" t="str">
            <v>Non-Prime</v>
          </cell>
          <cell r="T87" t="str">
            <v>Prime</v>
          </cell>
          <cell r="U87" t="str">
            <v>Prime</v>
          </cell>
          <cell r="V87" t="str">
            <v>Prime</v>
          </cell>
          <cell r="W87" t="str">
            <v>Prime</v>
          </cell>
          <cell r="X87" t="str">
            <v>Prime</v>
          </cell>
          <cell r="Y87" t="str">
            <v>Prime</v>
          </cell>
          <cell r="Z87" t="str">
            <v>Non-Prime</v>
          </cell>
          <cell r="AA87" t="str">
            <v>Non-Prime</v>
          </cell>
          <cell r="AB87" t="str">
            <v>Non-Prime</v>
          </cell>
          <cell r="AC87" t="str">
            <v>Non-Prime</v>
          </cell>
          <cell r="AD87" t="str">
            <v>Non-Prime</v>
          </cell>
          <cell r="AE87" t="str">
            <v>Non-Prime</v>
          </cell>
          <cell r="AF87" t="str">
            <v>Non-Prime</v>
          </cell>
        </row>
        <row r="88">
          <cell r="A88" t="str">
            <v>Guyana</v>
          </cell>
          <cell r="B88" t="str">
            <v>Non-Prime</v>
          </cell>
          <cell r="C88" t="str">
            <v>Non-Prime</v>
          </cell>
          <cell r="D88" t="str">
            <v>Non-Prime</v>
          </cell>
          <cell r="E88" t="str">
            <v>Non-Prime</v>
          </cell>
          <cell r="F88" t="str">
            <v>Non-Prime</v>
          </cell>
          <cell r="G88" t="str">
            <v>Non-Prime</v>
          </cell>
          <cell r="H88" t="str">
            <v>Non-Prime</v>
          </cell>
          <cell r="I88" t="str">
            <v>Non-Prime</v>
          </cell>
          <cell r="J88" t="str">
            <v>Non-Prime</v>
          </cell>
          <cell r="K88" t="str">
            <v>Non-Prime</v>
          </cell>
          <cell r="L88" t="str">
            <v>Non-Prime</v>
          </cell>
          <cell r="M88" t="str">
            <v>Non-Prime</v>
          </cell>
          <cell r="N88" t="str">
            <v>Non-Prime</v>
          </cell>
          <cell r="O88" t="str">
            <v>Non-Prime</v>
          </cell>
          <cell r="P88" t="str">
            <v>Non-Prime</v>
          </cell>
          <cell r="Q88" t="str">
            <v>Non-Prime</v>
          </cell>
          <cell r="R88" t="str">
            <v>Non-Prime</v>
          </cell>
          <cell r="S88" t="str">
            <v>Non-Prime</v>
          </cell>
          <cell r="T88" t="str">
            <v>Prime</v>
          </cell>
          <cell r="U88" t="str">
            <v>Prime</v>
          </cell>
          <cell r="V88" t="str">
            <v>Prime</v>
          </cell>
          <cell r="W88" t="str">
            <v>Prime</v>
          </cell>
          <cell r="X88" t="str">
            <v>Prime</v>
          </cell>
          <cell r="Y88" t="str">
            <v>Prime</v>
          </cell>
          <cell r="Z88" t="str">
            <v>Non-Prime</v>
          </cell>
          <cell r="AA88" t="str">
            <v>Non-Prime</v>
          </cell>
          <cell r="AB88" t="str">
            <v>Non-Prime</v>
          </cell>
          <cell r="AC88" t="str">
            <v>Non-Prime</v>
          </cell>
          <cell r="AD88" t="str">
            <v>Non-Prime</v>
          </cell>
          <cell r="AE88" t="str">
            <v>Non-Prime</v>
          </cell>
          <cell r="AF88" t="str">
            <v>Non-Prime</v>
          </cell>
        </row>
        <row r="89">
          <cell r="A89" t="str">
            <v>Haiti</v>
          </cell>
          <cell r="B89" t="str">
            <v>Non-Prime</v>
          </cell>
          <cell r="C89" t="str">
            <v>Non-Prime</v>
          </cell>
          <cell r="D89" t="str">
            <v>Non-Prime</v>
          </cell>
          <cell r="E89" t="str">
            <v>Non-Prime</v>
          </cell>
          <cell r="F89" t="str">
            <v>Non-Prime</v>
          </cell>
          <cell r="G89" t="str">
            <v>Non-Prime</v>
          </cell>
          <cell r="H89" t="str">
            <v>Non-Prime</v>
          </cell>
          <cell r="I89" t="str">
            <v>Non-Prime</v>
          </cell>
          <cell r="J89" t="str">
            <v>Non-Prime</v>
          </cell>
          <cell r="K89" t="str">
            <v>Non-Prime</v>
          </cell>
          <cell r="L89" t="str">
            <v>Non-Prime</v>
          </cell>
          <cell r="M89" t="str">
            <v>Non-Prime</v>
          </cell>
          <cell r="N89" t="str">
            <v>Non-Prime</v>
          </cell>
          <cell r="O89" t="str">
            <v>Non-Prime</v>
          </cell>
          <cell r="P89" t="str">
            <v>Non-Prime</v>
          </cell>
          <cell r="Q89" t="str">
            <v>Non-Prime</v>
          </cell>
          <cell r="R89" t="str">
            <v>Non-Prime</v>
          </cell>
          <cell r="S89" t="str">
            <v>Non-Prime</v>
          </cell>
          <cell r="T89" t="str">
            <v>Prime</v>
          </cell>
          <cell r="U89" t="str">
            <v>Prime</v>
          </cell>
          <cell r="V89" t="str">
            <v>Prime</v>
          </cell>
          <cell r="W89" t="str">
            <v>Prime</v>
          </cell>
          <cell r="X89" t="str">
            <v>Prime</v>
          </cell>
          <cell r="Y89" t="str">
            <v>Prime</v>
          </cell>
          <cell r="Z89" t="str">
            <v>Non-Prime</v>
          </cell>
          <cell r="AA89" t="str">
            <v>Non-Prime</v>
          </cell>
          <cell r="AB89" t="str">
            <v>Non-Prime</v>
          </cell>
          <cell r="AC89" t="str">
            <v>Non-Prime</v>
          </cell>
          <cell r="AD89" t="str">
            <v>Non-Prime</v>
          </cell>
          <cell r="AE89" t="str">
            <v>Non-Prime</v>
          </cell>
          <cell r="AF89" t="str">
            <v>Non-Prime</v>
          </cell>
        </row>
        <row r="90">
          <cell r="A90" t="str">
            <v>Holy See</v>
          </cell>
          <cell r="B90" t="str">
            <v>Non-Prime</v>
          </cell>
          <cell r="C90" t="str">
            <v>Non-Prime</v>
          </cell>
          <cell r="D90" t="str">
            <v>Non-Prime</v>
          </cell>
          <cell r="E90" t="str">
            <v>Non-Prime</v>
          </cell>
          <cell r="F90" t="str">
            <v>Non-Prime</v>
          </cell>
          <cell r="G90" t="str">
            <v>Non-Prime</v>
          </cell>
          <cell r="H90" t="str">
            <v>Non-Prime</v>
          </cell>
          <cell r="I90" t="str">
            <v>Non-Prime</v>
          </cell>
          <cell r="J90" t="str">
            <v>Non-Prime</v>
          </cell>
          <cell r="K90" t="str">
            <v>Non-Prime</v>
          </cell>
          <cell r="L90" t="str">
            <v>Non-Prime</v>
          </cell>
          <cell r="M90" t="str">
            <v>Non-Prime</v>
          </cell>
          <cell r="N90" t="str">
            <v>Non-Prime</v>
          </cell>
          <cell r="O90" t="str">
            <v>Non-Prime</v>
          </cell>
          <cell r="P90" t="str">
            <v>Non-Prime</v>
          </cell>
          <cell r="Q90" t="str">
            <v>Non-Prime</v>
          </cell>
          <cell r="R90" t="str">
            <v>Non-Prime</v>
          </cell>
          <cell r="S90" t="str">
            <v>Non-Prime</v>
          </cell>
          <cell r="T90" t="str">
            <v>Prime</v>
          </cell>
          <cell r="U90" t="str">
            <v>Prime</v>
          </cell>
          <cell r="V90" t="str">
            <v>Prime</v>
          </cell>
          <cell r="W90" t="str">
            <v>Prime</v>
          </cell>
          <cell r="X90" t="str">
            <v>Prime</v>
          </cell>
          <cell r="Y90" t="str">
            <v>Prime</v>
          </cell>
          <cell r="Z90" t="str">
            <v>Non-Prime</v>
          </cell>
          <cell r="AA90" t="str">
            <v>Non-Prime</v>
          </cell>
          <cell r="AB90" t="str">
            <v>Non-Prime</v>
          </cell>
          <cell r="AC90" t="str">
            <v>Non-Prime</v>
          </cell>
          <cell r="AD90" t="str">
            <v>Non-Prime</v>
          </cell>
          <cell r="AE90" t="str">
            <v>Non-Prime</v>
          </cell>
          <cell r="AF90" t="str">
            <v>Non-Prime</v>
          </cell>
        </row>
        <row r="91">
          <cell r="A91" t="str">
            <v>Honduras</v>
          </cell>
          <cell r="B91" t="str">
            <v>Non-Prime</v>
          </cell>
          <cell r="C91" t="str">
            <v>Non-Prime</v>
          </cell>
          <cell r="D91" t="str">
            <v>Non-Prime</v>
          </cell>
          <cell r="E91" t="str">
            <v>Non-Prime</v>
          </cell>
          <cell r="F91" t="str">
            <v>Non-Prime</v>
          </cell>
          <cell r="G91" t="str">
            <v>Non-Prime</v>
          </cell>
          <cell r="H91" t="str">
            <v>Non-Prime</v>
          </cell>
          <cell r="I91" t="str">
            <v>Non-Prime</v>
          </cell>
          <cell r="J91" t="str">
            <v>Non-Prime</v>
          </cell>
          <cell r="K91" t="str">
            <v>Non-Prime</v>
          </cell>
          <cell r="L91" t="str">
            <v>Non-Prime</v>
          </cell>
          <cell r="M91" t="str">
            <v>Non-Prime</v>
          </cell>
          <cell r="N91" t="str">
            <v>Non-Prime</v>
          </cell>
          <cell r="O91" t="str">
            <v>Non-Prime</v>
          </cell>
          <cell r="P91" t="str">
            <v>Non-Prime</v>
          </cell>
          <cell r="Q91" t="str">
            <v>Non-Prime</v>
          </cell>
          <cell r="R91" t="str">
            <v>Non-Prime</v>
          </cell>
          <cell r="S91" t="str">
            <v>Non-Prime</v>
          </cell>
          <cell r="T91" t="str">
            <v>Prime</v>
          </cell>
          <cell r="U91" t="str">
            <v>Prime</v>
          </cell>
          <cell r="V91" t="str">
            <v>Prime</v>
          </cell>
          <cell r="W91" t="str">
            <v>Prime</v>
          </cell>
          <cell r="X91" t="str">
            <v>Prime</v>
          </cell>
          <cell r="Y91" t="str">
            <v>Prime</v>
          </cell>
          <cell r="Z91" t="str">
            <v>Non-Prime</v>
          </cell>
          <cell r="AA91" t="str">
            <v>Non-Prime</v>
          </cell>
          <cell r="AB91" t="str">
            <v>Non-Prime</v>
          </cell>
          <cell r="AC91" t="str">
            <v>Non-Prime</v>
          </cell>
          <cell r="AD91" t="str">
            <v>Non-Prime</v>
          </cell>
          <cell r="AE91" t="str">
            <v>Non-Prime</v>
          </cell>
          <cell r="AF91" t="str">
            <v>Non-Prime</v>
          </cell>
        </row>
        <row r="92">
          <cell r="A92" t="str">
            <v>Hong Kong</v>
          </cell>
          <cell r="B92" t="str">
            <v>Non-Prime</v>
          </cell>
          <cell r="C92" t="str">
            <v>Non-Prime</v>
          </cell>
          <cell r="D92" t="str">
            <v>Non-Prime</v>
          </cell>
          <cell r="E92" t="str">
            <v>Non-Prime</v>
          </cell>
          <cell r="F92" t="str">
            <v>Non-Prime</v>
          </cell>
          <cell r="G92" t="str">
            <v>Non-Prime</v>
          </cell>
          <cell r="H92" t="str">
            <v>Non-Prime</v>
          </cell>
          <cell r="I92" t="str">
            <v>Non-Prime</v>
          </cell>
          <cell r="J92" t="str">
            <v>Non-Prime</v>
          </cell>
          <cell r="K92" t="str">
            <v>Non-Prime</v>
          </cell>
          <cell r="L92" t="str">
            <v>Non-Prime</v>
          </cell>
          <cell r="M92" t="str">
            <v>Non-Prime</v>
          </cell>
          <cell r="N92" t="str">
            <v>Non-Prime</v>
          </cell>
          <cell r="O92" t="str">
            <v>Non-Prime</v>
          </cell>
          <cell r="P92" t="str">
            <v>Non-Prime</v>
          </cell>
          <cell r="Q92" t="str">
            <v>Non-Prime</v>
          </cell>
          <cell r="R92" t="str">
            <v>Non-Prime</v>
          </cell>
          <cell r="S92" t="str">
            <v>Non-Prime</v>
          </cell>
          <cell r="T92" t="str">
            <v>Non-Prime</v>
          </cell>
          <cell r="U92" t="str">
            <v>Prime</v>
          </cell>
          <cell r="V92" t="str">
            <v>Prime</v>
          </cell>
          <cell r="W92" t="str">
            <v>Prime</v>
          </cell>
          <cell r="X92" t="str">
            <v>Non-Prime</v>
          </cell>
          <cell r="Y92" t="str">
            <v>Non-Prime</v>
          </cell>
          <cell r="Z92" t="str">
            <v>Non-Prime</v>
          </cell>
          <cell r="AA92" t="str">
            <v>Non-Prime</v>
          </cell>
          <cell r="AB92" t="str">
            <v>Non-Prime</v>
          </cell>
          <cell r="AC92" t="str">
            <v>Non-Prime</v>
          </cell>
          <cell r="AD92" t="str">
            <v>Non-Prime</v>
          </cell>
          <cell r="AE92" t="str">
            <v>Non-Prime</v>
          </cell>
          <cell r="AF92" t="str">
            <v>Non-Prime</v>
          </cell>
        </row>
        <row r="93">
          <cell r="A93" t="str">
            <v>Hungary</v>
          </cell>
          <cell r="B93" t="str">
            <v>Non-Prime</v>
          </cell>
          <cell r="C93" t="str">
            <v>Non-Prime</v>
          </cell>
          <cell r="D93" t="str">
            <v>Non-Prime</v>
          </cell>
          <cell r="E93" t="str">
            <v>Non-Prime</v>
          </cell>
          <cell r="F93" t="str">
            <v>Non-Prime</v>
          </cell>
          <cell r="G93" t="str">
            <v>Non-Prime</v>
          </cell>
          <cell r="H93" t="str">
            <v>Non-Prime</v>
          </cell>
          <cell r="I93" t="str">
            <v>Non-Prime</v>
          </cell>
          <cell r="J93" t="str">
            <v>Non-Prime</v>
          </cell>
          <cell r="K93" t="str">
            <v>Non-Prime</v>
          </cell>
          <cell r="L93" t="str">
            <v>Non-Prime</v>
          </cell>
          <cell r="M93" t="str">
            <v>Non-Prime</v>
          </cell>
          <cell r="N93" t="str">
            <v>Non-Prime</v>
          </cell>
          <cell r="O93" t="str">
            <v>Non-Prime</v>
          </cell>
          <cell r="P93" t="str">
            <v>Non-Prime</v>
          </cell>
          <cell r="Q93" t="str">
            <v>Non-Prime</v>
          </cell>
          <cell r="R93" t="str">
            <v>Non-Prime</v>
          </cell>
          <cell r="S93" t="str">
            <v>Non-Prime</v>
          </cell>
          <cell r="T93" t="str">
            <v>Non-Prime</v>
          </cell>
          <cell r="U93" t="str">
            <v>Prime</v>
          </cell>
          <cell r="V93" t="str">
            <v>Prime</v>
          </cell>
          <cell r="W93" t="str">
            <v>Prime</v>
          </cell>
          <cell r="X93" t="str">
            <v>Prime</v>
          </cell>
          <cell r="Y93" t="str">
            <v>Non-Prime</v>
          </cell>
          <cell r="Z93" t="str">
            <v>Non-Prime</v>
          </cell>
          <cell r="AA93" t="str">
            <v>Non-Prime</v>
          </cell>
          <cell r="AB93" t="str">
            <v>Non-Prime</v>
          </cell>
          <cell r="AC93" t="str">
            <v>Non-Prime</v>
          </cell>
          <cell r="AD93" t="str">
            <v>Non-Prime</v>
          </cell>
          <cell r="AE93" t="str">
            <v>Non-Prime</v>
          </cell>
          <cell r="AF93" t="str">
            <v>Non-Prime</v>
          </cell>
        </row>
        <row r="94">
          <cell r="A94" t="str">
            <v>Iceland</v>
          </cell>
          <cell r="B94" t="str">
            <v>Non-Prime</v>
          </cell>
          <cell r="C94" t="str">
            <v>Non-Prime</v>
          </cell>
          <cell r="D94" t="str">
            <v>Non-Prime</v>
          </cell>
          <cell r="E94" t="str">
            <v>Non-Prime</v>
          </cell>
          <cell r="F94" t="str">
            <v>Non-Prime</v>
          </cell>
          <cell r="G94" t="str">
            <v>Non-Prime</v>
          </cell>
          <cell r="H94" t="str">
            <v>Non-Prime</v>
          </cell>
          <cell r="I94" t="str">
            <v>Non-Prime</v>
          </cell>
          <cell r="J94" t="str">
            <v>Non-Prime</v>
          </cell>
          <cell r="K94" t="str">
            <v>Non-Prime</v>
          </cell>
          <cell r="L94" t="str">
            <v>Non-Prime</v>
          </cell>
          <cell r="M94" t="str">
            <v>Non-Prime</v>
          </cell>
          <cell r="N94" t="str">
            <v>Non-Prime</v>
          </cell>
          <cell r="O94" t="str">
            <v>Non-Prime</v>
          </cell>
          <cell r="P94" t="str">
            <v>Non-Prime</v>
          </cell>
          <cell r="Q94" t="str">
            <v>Non-Prime</v>
          </cell>
          <cell r="R94" t="str">
            <v>Non-Prime</v>
          </cell>
          <cell r="S94" t="str">
            <v>Non-Prime</v>
          </cell>
          <cell r="T94" t="str">
            <v>Prime</v>
          </cell>
          <cell r="U94" t="str">
            <v>Prime</v>
          </cell>
          <cell r="V94" t="str">
            <v>Prime</v>
          </cell>
          <cell r="W94" t="str">
            <v>Prime</v>
          </cell>
          <cell r="X94" t="str">
            <v>Prime</v>
          </cell>
          <cell r="Y94" t="str">
            <v>Prime</v>
          </cell>
          <cell r="Z94" t="str">
            <v>Non-Prime</v>
          </cell>
          <cell r="AA94" t="str">
            <v>Non-Prime</v>
          </cell>
          <cell r="AB94" t="str">
            <v>Non-Prime</v>
          </cell>
          <cell r="AC94" t="str">
            <v>Non-Prime</v>
          </cell>
          <cell r="AD94" t="str">
            <v>Non-Prime</v>
          </cell>
          <cell r="AE94" t="str">
            <v>Non-Prime</v>
          </cell>
          <cell r="AF94" t="str">
            <v>Non-Prime</v>
          </cell>
        </row>
        <row r="95">
          <cell r="A95" t="str">
            <v>India</v>
          </cell>
          <cell r="B95" t="str">
            <v>Non-Prime</v>
          </cell>
          <cell r="C95" t="str">
            <v>Non-Prime</v>
          </cell>
          <cell r="D95" t="str">
            <v>Non-Prime</v>
          </cell>
          <cell r="E95" t="str">
            <v>Non-Prime</v>
          </cell>
          <cell r="F95" t="str">
            <v>Non-Prime</v>
          </cell>
          <cell r="G95" t="str">
            <v>Non-Prime</v>
          </cell>
          <cell r="H95" t="str">
            <v>Non-Prime</v>
          </cell>
          <cell r="I95" t="str">
            <v>Non-Prime</v>
          </cell>
          <cell r="J95" t="str">
            <v>Non-Prime</v>
          </cell>
          <cell r="K95" t="str">
            <v>Non-Prime</v>
          </cell>
          <cell r="L95" t="str">
            <v>Non-Prime</v>
          </cell>
          <cell r="M95" t="str">
            <v>Non-Prime</v>
          </cell>
          <cell r="N95" t="str">
            <v>Non-Prime</v>
          </cell>
          <cell r="O95" t="str">
            <v>Non-Prime</v>
          </cell>
          <cell r="P95" t="str">
            <v>Non-Prime</v>
          </cell>
          <cell r="Q95" t="str">
            <v>Non-Prime</v>
          </cell>
          <cell r="R95" t="str">
            <v>Non-Prime</v>
          </cell>
          <cell r="S95" t="str">
            <v>Non-Prime</v>
          </cell>
          <cell r="T95" t="str">
            <v>Prime</v>
          </cell>
          <cell r="U95" t="str">
            <v>Prime</v>
          </cell>
          <cell r="V95" t="str">
            <v>Prime</v>
          </cell>
          <cell r="W95" t="str">
            <v>Prime</v>
          </cell>
          <cell r="X95" t="str">
            <v>Prime</v>
          </cell>
          <cell r="Y95" t="str">
            <v>Prime</v>
          </cell>
          <cell r="Z95" t="str">
            <v>Non-Prime</v>
          </cell>
          <cell r="AA95" t="str">
            <v>Non-Prime</v>
          </cell>
          <cell r="AB95" t="str">
            <v>Non-Prime</v>
          </cell>
          <cell r="AC95" t="str">
            <v>Non-Prime</v>
          </cell>
          <cell r="AD95" t="str">
            <v>Non-Prime</v>
          </cell>
          <cell r="AE95" t="str">
            <v>Non-Prime</v>
          </cell>
          <cell r="AF95" t="str">
            <v>Non-Prime</v>
          </cell>
        </row>
        <row r="96">
          <cell r="A96" t="str">
            <v>Indian sub continent</v>
          </cell>
          <cell r="B96" t="str">
            <v>Non-Prime</v>
          </cell>
          <cell r="C96" t="str">
            <v>Non-Prime</v>
          </cell>
          <cell r="D96" t="str">
            <v>Non-Prime</v>
          </cell>
          <cell r="E96" t="str">
            <v>Non-Prime</v>
          </cell>
          <cell r="F96" t="str">
            <v>Non-Prime</v>
          </cell>
          <cell r="G96" t="str">
            <v>Non-Prime</v>
          </cell>
          <cell r="H96" t="str">
            <v>Non-Prime</v>
          </cell>
          <cell r="I96" t="str">
            <v>Non-Prime</v>
          </cell>
          <cell r="J96" t="str">
            <v>Non-Prime</v>
          </cell>
          <cell r="K96" t="str">
            <v>Non-Prime</v>
          </cell>
          <cell r="L96" t="str">
            <v>Non-Prime</v>
          </cell>
          <cell r="M96" t="str">
            <v>Non-Prime</v>
          </cell>
          <cell r="N96" t="str">
            <v>Non-Prime</v>
          </cell>
          <cell r="O96" t="str">
            <v>Non-Prime</v>
          </cell>
          <cell r="P96" t="str">
            <v>Non-Prime</v>
          </cell>
          <cell r="Q96" t="str">
            <v>Non-Prime</v>
          </cell>
          <cell r="R96" t="str">
            <v>Non-Prime</v>
          </cell>
          <cell r="S96" t="str">
            <v>Non-Prime</v>
          </cell>
          <cell r="T96" t="str">
            <v>Prime</v>
          </cell>
          <cell r="U96" t="str">
            <v>Prime</v>
          </cell>
          <cell r="V96" t="str">
            <v>Prime</v>
          </cell>
          <cell r="W96" t="str">
            <v>Prime</v>
          </cell>
          <cell r="X96" t="str">
            <v>Prime</v>
          </cell>
          <cell r="Y96" t="str">
            <v>Prime</v>
          </cell>
          <cell r="Z96" t="str">
            <v>Non-Prime</v>
          </cell>
          <cell r="AA96" t="str">
            <v>Non-Prime</v>
          </cell>
          <cell r="AB96" t="str">
            <v>Non-Prime</v>
          </cell>
          <cell r="AC96" t="str">
            <v>Non-Prime</v>
          </cell>
          <cell r="AD96" t="str">
            <v>Non-Prime</v>
          </cell>
          <cell r="AE96" t="str">
            <v>Non-Prime</v>
          </cell>
          <cell r="AF96" t="str">
            <v>Non-Prime</v>
          </cell>
        </row>
        <row r="97">
          <cell r="A97" t="str">
            <v>Indonesia</v>
          </cell>
          <cell r="B97" t="str">
            <v>Non-Prime</v>
          </cell>
          <cell r="C97" t="str">
            <v>Non-Prime</v>
          </cell>
          <cell r="D97" t="str">
            <v>Non-Prime</v>
          </cell>
          <cell r="E97" t="str">
            <v>Non-Prime</v>
          </cell>
          <cell r="F97" t="str">
            <v>Non-Prime</v>
          </cell>
          <cell r="G97" t="str">
            <v>Non-Prime</v>
          </cell>
          <cell r="H97" t="str">
            <v>Non-Prime</v>
          </cell>
          <cell r="I97" t="str">
            <v>Non-Prime</v>
          </cell>
          <cell r="J97" t="str">
            <v>Non-Prime</v>
          </cell>
          <cell r="K97" t="str">
            <v>Non-Prime</v>
          </cell>
          <cell r="L97" t="str">
            <v>Non-Prime</v>
          </cell>
          <cell r="M97" t="str">
            <v>Non-Prime</v>
          </cell>
          <cell r="N97" t="str">
            <v>Non-Prime</v>
          </cell>
          <cell r="O97" t="str">
            <v>Non-Prime</v>
          </cell>
          <cell r="P97" t="str">
            <v>Non-Prime</v>
          </cell>
          <cell r="Q97" t="str">
            <v>Non-Prime</v>
          </cell>
          <cell r="R97" t="str">
            <v>Non-Prime</v>
          </cell>
          <cell r="S97" t="str">
            <v>Non-Prime</v>
          </cell>
          <cell r="T97" t="str">
            <v>Prime</v>
          </cell>
          <cell r="U97" t="str">
            <v>Prime</v>
          </cell>
          <cell r="V97" t="str">
            <v>Prime</v>
          </cell>
          <cell r="W97" t="str">
            <v>Prime</v>
          </cell>
          <cell r="X97" t="str">
            <v>Prime</v>
          </cell>
          <cell r="Y97" t="str">
            <v>Prime</v>
          </cell>
          <cell r="Z97" t="str">
            <v>Non-Prime</v>
          </cell>
          <cell r="AA97" t="str">
            <v>Non-Prime</v>
          </cell>
          <cell r="AB97" t="str">
            <v>Non-Prime</v>
          </cell>
          <cell r="AC97" t="str">
            <v>Non-Prime</v>
          </cell>
          <cell r="AD97" t="str">
            <v>Non-Prime</v>
          </cell>
          <cell r="AE97" t="str">
            <v>Non-Prime</v>
          </cell>
          <cell r="AF97" t="str">
            <v>Non-Prime</v>
          </cell>
        </row>
        <row r="98">
          <cell r="A98" t="str">
            <v>Iran</v>
          </cell>
          <cell r="B98" t="str">
            <v>Non-Prime</v>
          </cell>
          <cell r="C98" t="str">
            <v>Non-Prime</v>
          </cell>
          <cell r="D98" t="str">
            <v>Non-Prime</v>
          </cell>
          <cell r="E98" t="str">
            <v>Non-Prime</v>
          </cell>
          <cell r="F98" t="str">
            <v>Non-Prime</v>
          </cell>
          <cell r="G98" t="str">
            <v>Non-Prime</v>
          </cell>
          <cell r="H98" t="str">
            <v>Non-Prime</v>
          </cell>
          <cell r="I98" t="str">
            <v>Non-Prime</v>
          </cell>
          <cell r="J98" t="str">
            <v>Non-Prime</v>
          </cell>
          <cell r="K98" t="str">
            <v>Non-Prime</v>
          </cell>
          <cell r="L98" t="str">
            <v>Non-Prime</v>
          </cell>
          <cell r="M98" t="str">
            <v>Non-Prime</v>
          </cell>
          <cell r="N98" t="str">
            <v>Non-Prime</v>
          </cell>
          <cell r="O98" t="str">
            <v>Non-Prime</v>
          </cell>
          <cell r="P98" t="str">
            <v>Non-Prime</v>
          </cell>
          <cell r="Q98" t="str">
            <v>Non-Prime</v>
          </cell>
          <cell r="R98" t="str">
            <v>Non-Prime</v>
          </cell>
          <cell r="S98" t="str">
            <v>Non-Prime</v>
          </cell>
          <cell r="T98" t="str">
            <v>Non-Prime</v>
          </cell>
          <cell r="U98" t="str">
            <v>Non-Prime</v>
          </cell>
          <cell r="V98" t="str">
            <v>Prime</v>
          </cell>
          <cell r="W98" t="str">
            <v>Prime</v>
          </cell>
          <cell r="X98" t="str">
            <v>Prime</v>
          </cell>
          <cell r="Y98" t="str">
            <v>Prime</v>
          </cell>
          <cell r="Z98" t="str">
            <v>Non-Prime</v>
          </cell>
          <cell r="AA98" t="str">
            <v>Non-Prime</v>
          </cell>
          <cell r="AB98" t="str">
            <v>Non-Prime</v>
          </cell>
          <cell r="AC98" t="str">
            <v>Non-Prime</v>
          </cell>
          <cell r="AD98" t="str">
            <v>Non-Prime</v>
          </cell>
          <cell r="AE98" t="str">
            <v>Non-Prime</v>
          </cell>
          <cell r="AF98" t="str">
            <v>Non-Prime</v>
          </cell>
        </row>
        <row r="99">
          <cell r="A99" t="str">
            <v>Iraq</v>
          </cell>
          <cell r="B99" t="str">
            <v>Non-Prime</v>
          </cell>
          <cell r="C99" t="str">
            <v>Non-Prime</v>
          </cell>
          <cell r="D99" t="str">
            <v>Non-Prime</v>
          </cell>
          <cell r="E99" t="str">
            <v>Non-Prime</v>
          </cell>
          <cell r="F99" t="str">
            <v>Non-Prime</v>
          </cell>
          <cell r="G99" t="str">
            <v>Non-Prime</v>
          </cell>
          <cell r="H99" t="str">
            <v>Non-Prime</v>
          </cell>
          <cell r="I99" t="str">
            <v>Non-Prime</v>
          </cell>
          <cell r="J99" t="str">
            <v>Non-Prime</v>
          </cell>
          <cell r="K99" t="str">
            <v>Non-Prime</v>
          </cell>
          <cell r="L99" t="str">
            <v>Non-Prime</v>
          </cell>
          <cell r="M99" t="str">
            <v>Non-Prime</v>
          </cell>
          <cell r="N99" t="str">
            <v>Non-Prime</v>
          </cell>
          <cell r="O99" t="str">
            <v>Non-Prime</v>
          </cell>
          <cell r="P99" t="str">
            <v>Non-Prime</v>
          </cell>
          <cell r="Q99" t="str">
            <v>Non-Prime</v>
          </cell>
          <cell r="R99" t="str">
            <v>Non-Prime</v>
          </cell>
          <cell r="S99" t="str">
            <v>Non-Prime</v>
          </cell>
          <cell r="T99" t="str">
            <v>Non-Prime</v>
          </cell>
          <cell r="U99" t="str">
            <v>Non-Prime</v>
          </cell>
          <cell r="V99" t="str">
            <v>Prime</v>
          </cell>
          <cell r="W99" t="str">
            <v>Prime</v>
          </cell>
          <cell r="X99" t="str">
            <v>Prime</v>
          </cell>
          <cell r="Y99" t="str">
            <v>Prime</v>
          </cell>
          <cell r="Z99" t="str">
            <v>Non-Prime</v>
          </cell>
          <cell r="AA99" t="str">
            <v>Non-Prime</v>
          </cell>
          <cell r="AB99" t="str">
            <v>Non-Prime</v>
          </cell>
          <cell r="AC99" t="str">
            <v>Non-Prime</v>
          </cell>
          <cell r="AD99" t="str">
            <v>Non-Prime</v>
          </cell>
          <cell r="AE99" t="str">
            <v>Non-Prime</v>
          </cell>
          <cell r="AF99" t="str">
            <v>Non-Prime</v>
          </cell>
        </row>
        <row r="100">
          <cell r="A100" t="str">
            <v>Ireland</v>
          </cell>
          <cell r="B100" t="str">
            <v>Non-Prime</v>
          </cell>
          <cell r="C100" t="str">
            <v>Non-Prime</v>
          </cell>
          <cell r="D100" t="str">
            <v>Non-Prime</v>
          </cell>
          <cell r="E100" t="str">
            <v>Non-Prime</v>
          </cell>
          <cell r="F100" t="str">
            <v>Non-Prime</v>
          </cell>
          <cell r="G100" t="str">
            <v>Non-Prime</v>
          </cell>
          <cell r="H100" t="str">
            <v>Non-Prime</v>
          </cell>
          <cell r="I100" t="str">
            <v>Non-Prime</v>
          </cell>
          <cell r="J100" t="str">
            <v>Non-Prime</v>
          </cell>
          <cell r="K100" t="str">
            <v>Non-Prime</v>
          </cell>
          <cell r="L100" t="str">
            <v>Non-Prime</v>
          </cell>
          <cell r="M100" t="str">
            <v>Non-Prime</v>
          </cell>
          <cell r="N100" t="str">
            <v>Non-Prime</v>
          </cell>
          <cell r="O100" t="str">
            <v>Non-Prime</v>
          </cell>
          <cell r="P100" t="str">
            <v>Non-Prime</v>
          </cell>
          <cell r="Q100" t="str">
            <v>Non-Prime</v>
          </cell>
          <cell r="R100" t="str">
            <v>Non-Prime</v>
          </cell>
          <cell r="S100" t="str">
            <v>Non-Prime</v>
          </cell>
          <cell r="T100" t="str">
            <v>Prime</v>
          </cell>
          <cell r="U100" t="str">
            <v>Prime</v>
          </cell>
          <cell r="V100" t="str">
            <v>Prime</v>
          </cell>
          <cell r="W100" t="str">
            <v>Prime</v>
          </cell>
          <cell r="X100" t="str">
            <v>Prime</v>
          </cell>
          <cell r="Y100" t="str">
            <v>Non-Prime</v>
          </cell>
          <cell r="Z100" t="str">
            <v>Non-Prime</v>
          </cell>
          <cell r="AA100" t="str">
            <v>Non-Prime</v>
          </cell>
          <cell r="AB100" t="str">
            <v>Non-Prime</v>
          </cell>
          <cell r="AC100" t="str">
            <v>Non-Prime</v>
          </cell>
          <cell r="AD100" t="str">
            <v>Non-Prime</v>
          </cell>
          <cell r="AE100" t="str">
            <v>Non-Prime</v>
          </cell>
          <cell r="AF100" t="str">
            <v>Non-Prime</v>
          </cell>
        </row>
        <row r="101">
          <cell r="A101" t="str">
            <v>Israel</v>
          </cell>
          <cell r="B101" t="str">
            <v>Non-Prime</v>
          </cell>
          <cell r="C101" t="str">
            <v>Non-Prime</v>
          </cell>
          <cell r="D101" t="str">
            <v>Non-Prime</v>
          </cell>
          <cell r="E101" t="str">
            <v>Non-Prime</v>
          </cell>
          <cell r="F101" t="str">
            <v>Non-Prime</v>
          </cell>
          <cell r="G101" t="str">
            <v>Non-Prime</v>
          </cell>
          <cell r="H101" t="str">
            <v>Non-Prime</v>
          </cell>
          <cell r="I101" t="str">
            <v>Non-Prime</v>
          </cell>
          <cell r="J101" t="str">
            <v>Non-Prime</v>
          </cell>
          <cell r="K101" t="str">
            <v>Non-Prime</v>
          </cell>
          <cell r="L101" t="str">
            <v>Non-Prime</v>
          </cell>
          <cell r="M101" t="str">
            <v>Non-Prime</v>
          </cell>
          <cell r="N101" t="str">
            <v>Non-Prime</v>
          </cell>
          <cell r="O101" t="str">
            <v>Non-Prime</v>
          </cell>
          <cell r="P101" t="str">
            <v>Non-Prime</v>
          </cell>
          <cell r="Q101" t="str">
            <v>Non-Prime</v>
          </cell>
          <cell r="R101" t="str">
            <v>Non-Prime</v>
          </cell>
          <cell r="S101" t="str">
            <v>Non-Prime</v>
          </cell>
          <cell r="T101" t="str">
            <v>Non-Prime</v>
          </cell>
          <cell r="U101" t="str">
            <v>Non-Prime</v>
          </cell>
          <cell r="V101" t="str">
            <v>Prime</v>
          </cell>
          <cell r="W101" t="str">
            <v>Prime</v>
          </cell>
          <cell r="X101" t="str">
            <v>Prime</v>
          </cell>
          <cell r="Y101" t="str">
            <v>Prime</v>
          </cell>
          <cell r="Z101" t="str">
            <v>Non-Prime</v>
          </cell>
          <cell r="AA101" t="str">
            <v>Non-Prime</v>
          </cell>
          <cell r="AB101" t="str">
            <v>Non-Prime</v>
          </cell>
          <cell r="AC101" t="str">
            <v>Non-Prime</v>
          </cell>
          <cell r="AD101" t="str">
            <v>Non-Prime</v>
          </cell>
          <cell r="AE101" t="str">
            <v>Non-Prime</v>
          </cell>
          <cell r="AF101" t="str">
            <v>Non-Prime</v>
          </cell>
        </row>
        <row r="102">
          <cell r="A102" t="str">
            <v>Italy</v>
          </cell>
          <cell r="B102" t="str">
            <v>Non-Prime</v>
          </cell>
          <cell r="C102" t="str">
            <v>Non-Prime</v>
          </cell>
          <cell r="D102" t="str">
            <v>Non-Prime</v>
          </cell>
          <cell r="E102" t="str">
            <v>Non-Prime</v>
          </cell>
          <cell r="F102" t="str">
            <v>Non-Prime</v>
          </cell>
          <cell r="G102" t="str">
            <v>Non-Prime</v>
          </cell>
          <cell r="H102" t="str">
            <v>Non-Prime</v>
          </cell>
          <cell r="I102" t="str">
            <v>Non-Prime</v>
          </cell>
          <cell r="J102" t="str">
            <v>Non-Prime</v>
          </cell>
          <cell r="K102" t="str">
            <v>Non-Prime</v>
          </cell>
          <cell r="L102" t="str">
            <v>Non-Prime</v>
          </cell>
          <cell r="M102" t="str">
            <v>Non-Prime</v>
          </cell>
          <cell r="N102" t="str">
            <v>Non-Prime</v>
          </cell>
          <cell r="O102" t="str">
            <v>Non-Prime</v>
          </cell>
          <cell r="P102" t="str">
            <v>Non-Prime</v>
          </cell>
          <cell r="Q102" t="str">
            <v>Non-Prime</v>
          </cell>
          <cell r="R102" t="str">
            <v>Non-Prime</v>
          </cell>
          <cell r="S102" t="str">
            <v>Non-Prime</v>
          </cell>
          <cell r="T102" t="str">
            <v>Non-Prime</v>
          </cell>
          <cell r="U102" t="str">
            <v>Non-Prime</v>
          </cell>
          <cell r="V102" t="str">
            <v>Prime</v>
          </cell>
          <cell r="W102" t="str">
            <v>Prime</v>
          </cell>
          <cell r="X102" t="str">
            <v>Prime</v>
          </cell>
          <cell r="Y102" t="str">
            <v>Prime</v>
          </cell>
          <cell r="Z102" t="str">
            <v>Non-Prime</v>
          </cell>
          <cell r="AA102" t="str">
            <v>Non-Prime</v>
          </cell>
          <cell r="AB102" t="str">
            <v>Non-Prime</v>
          </cell>
          <cell r="AC102" t="str">
            <v>Non-Prime</v>
          </cell>
          <cell r="AD102" t="str">
            <v>Non-Prime</v>
          </cell>
          <cell r="AE102" t="str">
            <v>Non-Prime</v>
          </cell>
          <cell r="AF102" t="str">
            <v>Non-Prime</v>
          </cell>
        </row>
        <row r="103">
          <cell r="A103" t="str">
            <v>Jamaica</v>
          </cell>
          <cell r="B103" t="str">
            <v>Non-Prime</v>
          </cell>
          <cell r="C103" t="str">
            <v>Non-Prime</v>
          </cell>
          <cell r="D103" t="str">
            <v>Non-Prime</v>
          </cell>
          <cell r="E103" t="str">
            <v>Non-Prime</v>
          </cell>
          <cell r="F103" t="str">
            <v>Non-Prime</v>
          </cell>
          <cell r="G103" t="str">
            <v>Non-Prime</v>
          </cell>
          <cell r="H103" t="str">
            <v>Non-Prime</v>
          </cell>
          <cell r="I103" t="str">
            <v>Non-Prime</v>
          </cell>
          <cell r="J103" t="str">
            <v>Non-Prime</v>
          </cell>
          <cell r="K103" t="str">
            <v>Non-Prime</v>
          </cell>
          <cell r="L103" t="str">
            <v>Non-Prime</v>
          </cell>
          <cell r="M103" t="str">
            <v>Non-Prime</v>
          </cell>
          <cell r="N103" t="str">
            <v>Non-Prime</v>
          </cell>
          <cell r="O103" t="str">
            <v>Non-Prime</v>
          </cell>
          <cell r="P103" t="str">
            <v>Non-Prime</v>
          </cell>
          <cell r="Q103" t="str">
            <v>Non-Prime</v>
          </cell>
          <cell r="R103" t="str">
            <v>Non-Prime</v>
          </cell>
          <cell r="S103" t="str">
            <v>Non-Prime</v>
          </cell>
          <cell r="T103" t="str">
            <v>Prime</v>
          </cell>
          <cell r="U103" t="str">
            <v>Prime</v>
          </cell>
          <cell r="V103" t="str">
            <v>Prime</v>
          </cell>
          <cell r="W103" t="str">
            <v>Prime</v>
          </cell>
          <cell r="X103" t="str">
            <v>Prime</v>
          </cell>
          <cell r="Y103" t="str">
            <v>Prime</v>
          </cell>
          <cell r="Z103" t="str">
            <v>Non-Prime</v>
          </cell>
          <cell r="AA103" t="str">
            <v>Non-Prime</v>
          </cell>
          <cell r="AB103" t="str">
            <v>Non-Prime</v>
          </cell>
          <cell r="AC103" t="str">
            <v>Non-Prime</v>
          </cell>
          <cell r="AD103" t="str">
            <v>Non-Prime</v>
          </cell>
          <cell r="AE103" t="str">
            <v>Non-Prime</v>
          </cell>
          <cell r="AF103" t="str">
            <v>Non-Prime</v>
          </cell>
        </row>
        <row r="104">
          <cell r="A104" t="str">
            <v>Japan</v>
          </cell>
          <cell r="B104" t="str">
            <v>Non-Prime</v>
          </cell>
          <cell r="C104" t="str">
            <v>Non-Prime</v>
          </cell>
          <cell r="D104" t="str">
            <v>Non-Prime</v>
          </cell>
          <cell r="E104" t="str">
            <v>Non-Prime</v>
          </cell>
          <cell r="F104" t="str">
            <v>Non-Prime</v>
          </cell>
          <cell r="G104" t="str">
            <v>Non-Prime</v>
          </cell>
          <cell r="H104" t="str">
            <v>Non-Prime</v>
          </cell>
          <cell r="I104" t="str">
            <v>Non-Prime</v>
          </cell>
          <cell r="J104" t="str">
            <v>Non-Prime</v>
          </cell>
          <cell r="K104" t="str">
            <v>Non-Prime</v>
          </cell>
          <cell r="L104" t="str">
            <v>Non-Prime</v>
          </cell>
          <cell r="M104" t="str">
            <v>Non-Prime</v>
          </cell>
          <cell r="N104" t="str">
            <v>Non-Prime</v>
          </cell>
          <cell r="O104" t="str">
            <v>Non-Prime</v>
          </cell>
          <cell r="P104" t="str">
            <v>Non-Prime</v>
          </cell>
          <cell r="Q104" t="str">
            <v>Non-Prime</v>
          </cell>
          <cell r="R104" t="str">
            <v>Non-Prime</v>
          </cell>
          <cell r="S104" t="str">
            <v>Non-Prime</v>
          </cell>
          <cell r="T104" t="str">
            <v>Non-Prime</v>
          </cell>
          <cell r="U104" t="str">
            <v>Prime</v>
          </cell>
          <cell r="V104" t="str">
            <v>Prime</v>
          </cell>
          <cell r="W104" t="str">
            <v>Prime</v>
          </cell>
          <cell r="X104" t="str">
            <v>Prime</v>
          </cell>
          <cell r="Y104" t="str">
            <v>Prime</v>
          </cell>
          <cell r="Z104" t="str">
            <v>Non-Prime</v>
          </cell>
          <cell r="AA104" t="str">
            <v>Non-Prime</v>
          </cell>
          <cell r="AB104" t="str">
            <v>Non-Prime</v>
          </cell>
          <cell r="AC104" t="str">
            <v>Non-Prime</v>
          </cell>
          <cell r="AD104" t="str">
            <v>Non-Prime</v>
          </cell>
          <cell r="AE104" t="str">
            <v>Non-Prime</v>
          </cell>
          <cell r="AF104" t="str">
            <v>Non-Prime</v>
          </cell>
        </row>
        <row r="105">
          <cell r="A105" t="str">
            <v>Jersey</v>
          </cell>
          <cell r="B105" t="str">
            <v>Non-Prime</v>
          </cell>
          <cell r="C105" t="str">
            <v>Non-Prime</v>
          </cell>
          <cell r="D105" t="str">
            <v>Non-Prime</v>
          </cell>
          <cell r="E105" t="str">
            <v>Non-Prime</v>
          </cell>
          <cell r="F105" t="str">
            <v>Non-Prime</v>
          </cell>
          <cell r="G105" t="str">
            <v>Non-Prime</v>
          </cell>
          <cell r="H105" t="str">
            <v>Non-Prime</v>
          </cell>
          <cell r="I105" t="str">
            <v>Non-Prime</v>
          </cell>
          <cell r="J105" t="str">
            <v>Non-Prime</v>
          </cell>
          <cell r="K105" t="str">
            <v>Non-Prime</v>
          </cell>
          <cell r="L105" t="str">
            <v>Non-Prime</v>
          </cell>
          <cell r="M105" t="str">
            <v>Non-Prime</v>
          </cell>
          <cell r="N105" t="str">
            <v>Non-Prime</v>
          </cell>
          <cell r="O105" t="str">
            <v>Non-Prime</v>
          </cell>
          <cell r="P105" t="str">
            <v>Non-Prime</v>
          </cell>
          <cell r="Q105" t="str">
            <v>Non-Prime</v>
          </cell>
          <cell r="R105" t="str">
            <v>Non-Prime</v>
          </cell>
          <cell r="S105" t="str">
            <v>Non-Prime</v>
          </cell>
          <cell r="T105" t="str">
            <v>Prime</v>
          </cell>
          <cell r="U105" t="str">
            <v>Prime</v>
          </cell>
          <cell r="V105" t="str">
            <v>Prime</v>
          </cell>
          <cell r="W105" t="str">
            <v>Prime</v>
          </cell>
          <cell r="X105" t="str">
            <v>Prime</v>
          </cell>
          <cell r="Y105" t="str">
            <v>Non-Prime</v>
          </cell>
          <cell r="Z105" t="str">
            <v>Non-Prime</v>
          </cell>
          <cell r="AA105" t="str">
            <v>Non-Prime</v>
          </cell>
          <cell r="AB105" t="str">
            <v>Non-Prime</v>
          </cell>
          <cell r="AC105" t="str">
            <v>Non-Prime</v>
          </cell>
          <cell r="AD105" t="str">
            <v>Non-Prime</v>
          </cell>
          <cell r="AE105" t="str">
            <v>Non-Prime</v>
          </cell>
          <cell r="AF105" t="str">
            <v>Non-Prime</v>
          </cell>
        </row>
        <row r="106">
          <cell r="A106" t="str">
            <v>Jordan</v>
          </cell>
          <cell r="B106" t="str">
            <v>Non-Prime</v>
          </cell>
          <cell r="C106" t="str">
            <v>Non-Prime</v>
          </cell>
          <cell r="D106" t="str">
            <v>Non-Prime</v>
          </cell>
          <cell r="E106" t="str">
            <v>Non-Prime</v>
          </cell>
          <cell r="F106" t="str">
            <v>Non-Prime</v>
          </cell>
          <cell r="G106" t="str">
            <v>Non-Prime</v>
          </cell>
          <cell r="H106" t="str">
            <v>Non-Prime</v>
          </cell>
          <cell r="I106" t="str">
            <v>Non-Prime</v>
          </cell>
          <cell r="J106" t="str">
            <v>Non-Prime</v>
          </cell>
          <cell r="K106" t="str">
            <v>Non-Prime</v>
          </cell>
          <cell r="L106" t="str">
            <v>Non-Prime</v>
          </cell>
          <cell r="M106" t="str">
            <v>Non-Prime</v>
          </cell>
          <cell r="N106" t="str">
            <v>Non-Prime</v>
          </cell>
          <cell r="O106" t="str">
            <v>Non-Prime</v>
          </cell>
          <cell r="P106" t="str">
            <v>Non-Prime</v>
          </cell>
          <cell r="Q106" t="str">
            <v>Non-Prime</v>
          </cell>
          <cell r="R106" t="str">
            <v>Non-Prime</v>
          </cell>
          <cell r="S106" t="str">
            <v>Non-Prime</v>
          </cell>
          <cell r="T106" t="str">
            <v>Non-Prime</v>
          </cell>
          <cell r="U106" t="str">
            <v>Non-Prime</v>
          </cell>
          <cell r="V106" t="str">
            <v>Prime</v>
          </cell>
          <cell r="W106" t="str">
            <v>Prime</v>
          </cell>
          <cell r="X106" t="str">
            <v>Prime</v>
          </cell>
          <cell r="Y106" t="str">
            <v>Prime</v>
          </cell>
          <cell r="Z106" t="str">
            <v>Non-Prime</v>
          </cell>
          <cell r="AA106" t="str">
            <v>Non-Prime</v>
          </cell>
          <cell r="AB106" t="str">
            <v>Non-Prime</v>
          </cell>
          <cell r="AC106" t="str">
            <v>Non-Prime</v>
          </cell>
          <cell r="AD106" t="str">
            <v>Non-Prime</v>
          </cell>
          <cell r="AE106" t="str">
            <v>Non-Prime</v>
          </cell>
          <cell r="AF106" t="str">
            <v>Non-Prime</v>
          </cell>
        </row>
        <row r="107">
          <cell r="A107" t="str">
            <v>Kazakhstan</v>
          </cell>
          <cell r="B107" t="str">
            <v>Non-Prime</v>
          </cell>
          <cell r="C107" t="str">
            <v>Non-Prime</v>
          </cell>
          <cell r="D107" t="str">
            <v>Non-Prime</v>
          </cell>
          <cell r="E107" t="str">
            <v>Non-Prime</v>
          </cell>
          <cell r="F107" t="str">
            <v>Non-Prime</v>
          </cell>
          <cell r="G107" t="str">
            <v>Non-Prime</v>
          </cell>
          <cell r="H107" t="str">
            <v>Non-Prime</v>
          </cell>
          <cell r="I107" t="str">
            <v>Non-Prime</v>
          </cell>
          <cell r="J107" t="str">
            <v>Non-Prime</v>
          </cell>
          <cell r="K107" t="str">
            <v>Non-Prime</v>
          </cell>
          <cell r="L107" t="str">
            <v>Non-Prime</v>
          </cell>
          <cell r="M107" t="str">
            <v>Non-Prime</v>
          </cell>
          <cell r="N107" t="str">
            <v>Non-Prime</v>
          </cell>
          <cell r="O107" t="str">
            <v>Non-Prime</v>
          </cell>
          <cell r="P107" t="str">
            <v>Non-Prime</v>
          </cell>
          <cell r="Q107" t="str">
            <v>Non-Prime</v>
          </cell>
          <cell r="R107" t="str">
            <v>Non-Prime</v>
          </cell>
          <cell r="S107" t="str">
            <v>Non-Prime</v>
          </cell>
          <cell r="T107" t="str">
            <v>Prime</v>
          </cell>
          <cell r="U107" t="str">
            <v>Prime</v>
          </cell>
          <cell r="V107" t="str">
            <v>Prime</v>
          </cell>
          <cell r="W107" t="str">
            <v>Prime</v>
          </cell>
          <cell r="X107" t="str">
            <v>Prime</v>
          </cell>
          <cell r="Y107" t="str">
            <v>Prime</v>
          </cell>
          <cell r="Z107" t="str">
            <v>Non-Prime</v>
          </cell>
          <cell r="AA107" t="str">
            <v>Non-Prime</v>
          </cell>
          <cell r="AB107" t="str">
            <v>Non-Prime</v>
          </cell>
          <cell r="AC107" t="str">
            <v>Non-Prime</v>
          </cell>
          <cell r="AD107" t="str">
            <v>Non-Prime</v>
          </cell>
          <cell r="AE107" t="str">
            <v>Non-Prime</v>
          </cell>
          <cell r="AF107" t="str">
            <v>Non-Prime</v>
          </cell>
        </row>
        <row r="108">
          <cell r="A108" t="str">
            <v>Kenya</v>
          </cell>
          <cell r="B108" t="str">
            <v>Non-Prime</v>
          </cell>
          <cell r="C108" t="str">
            <v>Non-Prime</v>
          </cell>
          <cell r="D108" t="str">
            <v>Non-Prime</v>
          </cell>
          <cell r="E108" t="str">
            <v>Non-Prime</v>
          </cell>
          <cell r="F108" t="str">
            <v>Non-Prime</v>
          </cell>
          <cell r="G108" t="str">
            <v>Non-Prime</v>
          </cell>
          <cell r="H108" t="str">
            <v>Non-Prime</v>
          </cell>
          <cell r="I108" t="str">
            <v>Non-Prime</v>
          </cell>
          <cell r="J108" t="str">
            <v>Non-Prime</v>
          </cell>
          <cell r="K108" t="str">
            <v>Non-Prime</v>
          </cell>
          <cell r="L108" t="str">
            <v>Non-Prime</v>
          </cell>
          <cell r="M108" t="str">
            <v>Non-Prime</v>
          </cell>
          <cell r="N108" t="str">
            <v>Non-Prime</v>
          </cell>
          <cell r="O108" t="str">
            <v>Non-Prime</v>
          </cell>
          <cell r="P108" t="str">
            <v>Non-Prime</v>
          </cell>
          <cell r="Q108" t="str">
            <v>Non-Prime</v>
          </cell>
          <cell r="R108" t="str">
            <v>Non-Prime</v>
          </cell>
          <cell r="S108" t="str">
            <v>Non-Prime</v>
          </cell>
          <cell r="T108" t="str">
            <v>Prime</v>
          </cell>
          <cell r="U108" t="str">
            <v>Prime</v>
          </cell>
          <cell r="V108" t="str">
            <v>Prime</v>
          </cell>
          <cell r="W108" t="str">
            <v>Prime</v>
          </cell>
          <cell r="X108" t="str">
            <v>Prime</v>
          </cell>
          <cell r="Y108" t="str">
            <v>Prime</v>
          </cell>
          <cell r="Z108" t="str">
            <v>Non-Prime</v>
          </cell>
          <cell r="AA108" t="str">
            <v>Non-Prime</v>
          </cell>
          <cell r="AB108" t="str">
            <v>Non-Prime</v>
          </cell>
          <cell r="AC108" t="str">
            <v>Non-Prime</v>
          </cell>
          <cell r="AD108" t="str">
            <v>Non-Prime</v>
          </cell>
          <cell r="AE108" t="str">
            <v>Non-Prime</v>
          </cell>
          <cell r="AF108" t="str">
            <v>Non-Prime</v>
          </cell>
        </row>
        <row r="109">
          <cell r="A109" t="str">
            <v>Kiribati</v>
          </cell>
          <cell r="B109" t="str">
            <v>Non-Prime</v>
          </cell>
          <cell r="C109" t="str">
            <v>Non-Prime</v>
          </cell>
          <cell r="D109" t="str">
            <v>Non-Prime</v>
          </cell>
          <cell r="E109" t="str">
            <v>Non-Prime</v>
          </cell>
          <cell r="F109" t="str">
            <v>Non-Prime</v>
          </cell>
          <cell r="G109" t="str">
            <v>Non-Prime</v>
          </cell>
          <cell r="H109" t="str">
            <v>Non-Prime</v>
          </cell>
          <cell r="I109" t="str">
            <v>Non-Prime</v>
          </cell>
          <cell r="J109" t="str">
            <v>Non-Prime</v>
          </cell>
          <cell r="K109" t="str">
            <v>Non-Prime</v>
          </cell>
          <cell r="L109" t="str">
            <v>Non-Prime</v>
          </cell>
          <cell r="M109" t="str">
            <v>Non-Prime</v>
          </cell>
          <cell r="N109" t="str">
            <v>Non-Prime</v>
          </cell>
          <cell r="O109" t="str">
            <v>Non-Prime</v>
          </cell>
          <cell r="P109" t="str">
            <v>Non-Prime</v>
          </cell>
          <cell r="Q109" t="str">
            <v>Non-Prime</v>
          </cell>
          <cell r="R109" t="str">
            <v>Non-Prime</v>
          </cell>
          <cell r="S109" t="str">
            <v>Non-Prime</v>
          </cell>
          <cell r="T109" t="str">
            <v>Prime</v>
          </cell>
          <cell r="U109" t="str">
            <v>Prime</v>
          </cell>
          <cell r="V109" t="str">
            <v>Prime</v>
          </cell>
          <cell r="W109" t="str">
            <v>Prime</v>
          </cell>
          <cell r="X109" t="str">
            <v>Prime</v>
          </cell>
          <cell r="Y109" t="str">
            <v>Prime</v>
          </cell>
          <cell r="Z109" t="str">
            <v>Non-Prime</v>
          </cell>
          <cell r="AA109" t="str">
            <v>Non-Prime</v>
          </cell>
          <cell r="AB109" t="str">
            <v>Non-Prime</v>
          </cell>
          <cell r="AC109" t="str">
            <v>Non-Prime</v>
          </cell>
          <cell r="AD109" t="str">
            <v>Non-Prime</v>
          </cell>
          <cell r="AE109" t="str">
            <v>Non-Prime</v>
          </cell>
          <cell r="AF109" t="str">
            <v>Non-Prime</v>
          </cell>
        </row>
        <row r="110">
          <cell r="A110" t="str">
            <v>Kosovo</v>
          </cell>
          <cell r="B110" t="str">
            <v>Non-Prime</v>
          </cell>
          <cell r="C110" t="str">
            <v>Non-Prime</v>
          </cell>
          <cell r="D110" t="str">
            <v>Non-Prime</v>
          </cell>
          <cell r="E110" t="str">
            <v>Non-Prime</v>
          </cell>
          <cell r="F110" t="str">
            <v>Non-Prime</v>
          </cell>
          <cell r="G110" t="str">
            <v>Non-Prime</v>
          </cell>
          <cell r="H110" t="str">
            <v>Non-Prime</v>
          </cell>
          <cell r="I110" t="str">
            <v>Non-Prime</v>
          </cell>
          <cell r="J110" t="str">
            <v>Non-Prime</v>
          </cell>
          <cell r="K110" t="str">
            <v>Non-Prime</v>
          </cell>
          <cell r="L110" t="str">
            <v>Non-Prime</v>
          </cell>
          <cell r="M110" t="str">
            <v>Non-Prime</v>
          </cell>
          <cell r="N110" t="str">
            <v>Non-Prime</v>
          </cell>
          <cell r="O110" t="str">
            <v>Non-Prime</v>
          </cell>
          <cell r="P110" t="str">
            <v>Non-Prime</v>
          </cell>
          <cell r="Q110" t="str">
            <v>Non-Prime</v>
          </cell>
          <cell r="R110" t="str">
            <v>Non-Prime</v>
          </cell>
          <cell r="S110" t="str">
            <v>Non-Prime</v>
          </cell>
          <cell r="T110" t="str">
            <v>Prime</v>
          </cell>
          <cell r="U110" t="str">
            <v>Prime</v>
          </cell>
          <cell r="V110" t="str">
            <v>Prime</v>
          </cell>
          <cell r="W110" t="str">
            <v>Prime</v>
          </cell>
          <cell r="X110" t="str">
            <v>Prime</v>
          </cell>
          <cell r="Y110" t="str">
            <v>Prime</v>
          </cell>
          <cell r="Z110" t="str">
            <v>Non-Prime</v>
          </cell>
          <cell r="AA110" t="str">
            <v>Non-Prime</v>
          </cell>
          <cell r="AB110" t="str">
            <v>Non-Prime</v>
          </cell>
          <cell r="AC110" t="str">
            <v>Non-Prime</v>
          </cell>
          <cell r="AD110" t="str">
            <v>Non-Prime</v>
          </cell>
          <cell r="AE110" t="str">
            <v>Non-Prime</v>
          </cell>
          <cell r="AF110" t="str">
            <v>Non-Prime</v>
          </cell>
        </row>
        <row r="111">
          <cell r="A111" t="str">
            <v>Kuweit</v>
          </cell>
          <cell r="B111" t="str">
            <v>Non-Prime</v>
          </cell>
          <cell r="C111" t="str">
            <v>Non-Prime</v>
          </cell>
          <cell r="D111" t="str">
            <v>Non-Prime</v>
          </cell>
          <cell r="E111" t="str">
            <v>Non-Prime</v>
          </cell>
          <cell r="F111" t="str">
            <v>Non-Prime</v>
          </cell>
          <cell r="G111" t="str">
            <v>Non-Prime</v>
          </cell>
          <cell r="H111" t="str">
            <v>Non-Prime</v>
          </cell>
          <cell r="I111" t="str">
            <v>Non-Prime</v>
          </cell>
          <cell r="J111" t="str">
            <v>Non-Prime</v>
          </cell>
          <cell r="K111" t="str">
            <v>Non-Prime</v>
          </cell>
          <cell r="L111" t="str">
            <v>Non-Prime</v>
          </cell>
          <cell r="M111" t="str">
            <v>Non-Prime</v>
          </cell>
          <cell r="N111" t="str">
            <v>Non-Prime</v>
          </cell>
          <cell r="O111" t="str">
            <v>Non-Prime</v>
          </cell>
          <cell r="P111" t="str">
            <v>Non-Prime</v>
          </cell>
          <cell r="Q111" t="str">
            <v>Non-Prime</v>
          </cell>
          <cell r="R111" t="str">
            <v>Non-Prime</v>
          </cell>
          <cell r="S111" t="str">
            <v>Non-Prime</v>
          </cell>
          <cell r="T111" t="str">
            <v>Prime</v>
          </cell>
          <cell r="U111" t="str">
            <v>Prime</v>
          </cell>
          <cell r="V111" t="str">
            <v>Prime</v>
          </cell>
          <cell r="W111" t="str">
            <v>Prime</v>
          </cell>
          <cell r="X111" t="str">
            <v>Prime</v>
          </cell>
          <cell r="Y111" t="str">
            <v>Prime</v>
          </cell>
          <cell r="Z111" t="str">
            <v>Non-Prime</v>
          </cell>
          <cell r="AA111" t="str">
            <v>Non-Prime</v>
          </cell>
          <cell r="AB111" t="str">
            <v>Non-Prime</v>
          </cell>
          <cell r="AC111" t="str">
            <v>Non-Prime</v>
          </cell>
          <cell r="AD111" t="str">
            <v>Non-Prime</v>
          </cell>
          <cell r="AE111" t="str">
            <v>Non-Prime</v>
          </cell>
          <cell r="AF111" t="str">
            <v>Non-Prime</v>
          </cell>
        </row>
        <row r="112">
          <cell r="A112" t="str">
            <v>Kyrgyzstan</v>
          </cell>
          <cell r="B112" t="str">
            <v>Non-Prime</v>
          </cell>
          <cell r="C112" t="str">
            <v>Non-Prime</v>
          </cell>
          <cell r="D112" t="str">
            <v>Non-Prime</v>
          </cell>
          <cell r="E112" t="str">
            <v>Non-Prime</v>
          </cell>
          <cell r="F112" t="str">
            <v>Non-Prime</v>
          </cell>
          <cell r="G112" t="str">
            <v>Non-Prime</v>
          </cell>
          <cell r="H112" t="str">
            <v>Non-Prime</v>
          </cell>
          <cell r="I112" t="str">
            <v>Non-Prime</v>
          </cell>
          <cell r="J112" t="str">
            <v>Non-Prime</v>
          </cell>
          <cell r="K112" t="str">
            <v>Non-Prime</v>
          </cell>
          <cell r="L112" t="str">
            <v>Non-Prime</v>
          </cell>
          <cell r="M112" t="str">
            <v>Non-Prime</v>
          </cell>
          <cell r="N112" t="str">
            <v>Non-Prime</v>
          </cell>
          <cell r="O112" t="str">
            <v>Non-Prime</v>
          </cell>
          <cell r="P112" t="str">
            <v>Non-Prime</v>
          </cell>
          <cell r="Q112" t="str">
            <v>Non-Prime</v>
          </cell>
          <cell r="R112" t="str">
            <v>Non-Prime</v>
          </cell>
          <cell r="S112" t="str">
            <v>Non-Prime</v>
          </cell>
          <cell r="T112" t="str">
            <v>Prime</v>
          </cell>
          <cell r="U112" t="str">
            <v>Prime</v>
          </cell>
          <cell r="V112" t="str">
            <v>Prime</v>
          </cell>
          <cell r="W112" t="str">
            <v>Prime</v>
          </cell>
          <cell r="X112" t="str">
            <v>Prime</v>
          </cell>
          <cell r="Y112" t="str">
            <v>Prime</v>
          </cell>
          <cell r="Z112" t="str">
            <v>Non-Prime</v>
          </cell>
          <cell r="AA112" t="str">
            <v>Non-Prime</v>
          </cell>
          <cell r="AB112" t="str">
            <v>Non-Prime</v>
          </cell>
          <cell r="AC112" t="str">
            <v>Non-Prime</v>
          </cell>
          <cell r="AD112" t="str">
            <v>Non-Prime</v>
          </cell>
          <cell r="AE112" t="str">
            <v>Non-Prime</v>
          </cell>
          <cell r="AF112" t="str">
            <v>Non-Prime</v>
          </cell>
        </row>
        <row r="113">
          <cell r="A113" t="str">
            <v>Laos</v>
          </cell>
          <cell r="B113" t="str">
            <v>Non-Prime</v>
          </cell>
          <cell r="C113" t="str">
            <v>Non-Prime</v>
          </cell>
          <cell r="D113" t="str">
            <v>Non-Prime</v>
          </cell>
          <cell r="E113" t="str">
            <v>Non-Prime</v>
          </cell>
          <cell r="F113" t="str">
            <v>Non-Prime</v>
          </cell>
          <cell r="G113" t="str">
            <v>Non-Prime</v>
          </cell>
          <cell r="H113" t="str">
            <v>Non-Prime</v>
          </cell>
          <cell r="I113" t="str">
            <v>Non-Prime</v>
          </cell>
          <cell r="J113" t="str">
            <v>Non-Prime</v>
          </cell>
          <cell r="K113" t="str">
            <v>Non-Prime</v>
          </cell>
          <cell r="L113" t="str">
            <v>Non-Prime</v>
          </cell>
          <cell r="M113" t="str">
            <v>Non-Prime</v>
          </cell>
          <cell r="N113" t="str">
            <v>Non-Prime</v>
          </cell>
          <cell r="O113" t="str">
            <v>Non-Prime</v>
          </cell>
          <cell r="P113" t="str">
            <v>Non-Prime</v>
          </cell>
          <cell r="Q113" t="str">
            <v>Non-Prime</v>
          </cell>
          <cell r="R113" t="str">
            <v>Non-Prime</v>
          </cell>
          <cell r="S113" t="str">
            <v>Prime</v>
          </cell>
          <cell r="T113" t="str">
            <v>Prime</v>
          </cell>
          <cell r="U113" t="str">
            <v>Prime</v>
          </cell>
          <cell r="V113" t="str">
            <v>Prime</v>
          </cell>
          <cell r="W113" t="str">
            <v>Prime</v>
          </cell>
          <cell r="X113" t="str">
            <v>Prime</v>
          </cell>
          <cell r="Y113" t="str">
            <v>Prime</v>
          </cell>
          <cell r="Z113" t="str">
            <v>Non-Prime</v>
          </cell>
          <cell r="AA113" t="str">
            <v>Non-Prime</v>
          </cell>
          <cell r="AB113" t="str">
            <v>Non-Prime</v>
          </cell>
          <cell r="AC113" t="str">
            <v>Non-Prime</v>
          </cell>
          <cell r="AD113" t="str">
            <v>Non-Prime</v>
          </cell>
          <cell r="AE113" t="str">
            <v>Non-Prime</v>
          </cell>
          <cell r="AF113" t="str">
            <v>Non-Prime</v>
          </cell>
        </row>
        <row r="114">
          <cell r="A114" t="str">
            <v>LATAM</v>
          </cell>
          <cell r="B114" t="str">
            <v>Non-Prime</v>
          </cell>
          <cell r="C114" t="str">
            <v>Non-Prime</v>
          </cell>
          <cell r="D114" t="str">
            <v>Non-Prime</v>
          </cell>
          <cell r="E114" t="str">
            <v>Non-Prime</v>
          </cell>
          <cell r="F114" t="str">
            <v>Non-Prime</v>
          </cell>
          <cell r="G114" t="str">
            <v>Non-Prime</v>
          </cell>
          <cell r="H114" t="str">
            <v>Non-Prime</v>
          </cell>
          <cell r="I114" t="str">
            <v>Non-Prime</v>
          </cell>
          <cell r="J114" t="str">
            <v>Non-Prime</v>
          </cell>
          <cell r="K114" t="str">
            <v>Non-Prime</v>
          </cell>
          <cell r="L114" t="str">
            <v>Non-Prime</v>
          </cell>
          <cell r="M114" t="str">
            <v>Non-Prime</v>
          </cell>
          <cell r="N114" t="str">
            <v>Non-Prime</v>
          </cell>
          <cell r="O114" t="str">
            <v>Non-Prime</v>
          </cell>
          <cell r="P114" t="str">
            <v>Non-Prime</v>
          </cell>
          <cell r="Q114" t="str">
            <v>Non-Prime</v>
          </cell>
          <cell r="R114" t="str">
            <v>Non-Prime</v>
          </cell>
          <cell r="S114" t="str">
            <v>Prime</v>
          </cell>
          <cell r="T114" t="str">
            <v>Prime</v>
          </cell>
          <cell r="U114" t="str">
            <v>Prime</v>
          </cell>
          <cell r="V114" t="str">
            <v>Prime</v>
          </cell>
          <cell r="W114" t="str">
            <v>Prime</v>
          </cell>
          <cell r="X114" t="str">
            <v>Prime</v>
          </cell>
          <cell r="Y114" t="str">
            <v>Prime</v>
          </cell>
          <cell r="Z114" t="str">
            <v>Non-Prime</v>
          </cell>
          <cell r="AA114" t="str">
            <v>Non-Prime</v>
          </cell>
          <cell r="AB114" t="str">
            <v>Non-Prime</v>
          </cell>
          <cell r="AC114" t="str">
            <v>Non-Prime</v>
          </cell>
          <cell r="AD114" t="str">
            <v>Non-Prime</v>
          </cell>
          <cell r="AE114" t="str">
            <v>Non-Prime</v>
          </cell>
          <cell r="AF114" t="str">
            <v>Non-Prime</v>
          </cell>
        </row>
        <row r="115">
          <cell r="A115" t="str">
            <v>Latvia</v>
          </cell>
          <cell r="B115" t="str">
            <v>Non-Prime</v>
          </cell>
          <cell r="C115" t="str">
            <v>Non-Prime</v>
          </cell>
          <cell r="D115" t="str">
            <v>Non-Prime</v>
          </cell>
          <cell r="E115" t="str">
            <v>Non-Prime</v>
          </cell>
          <cell r="F115" t="str">
            <v>Non-Prime</v>
          </cell>
          <cell r="G115" t="str">
            <v>Non-Prime</v>
          </cell>
          <cell r="H115" t="str">
            <v>Non-Prime</v>
          </cell>
          <cell r="I115" t="str">
            <v>Non-Prime</v>
          </cell>
          <cell r="J115" t="str">
            <v>Non-Prime</v>
          </cell>
          <cell r="K115" t="str">
            <v>Non-Prime</v>
          </cell>
          <cell r="L115" t="str">
            <v>Non-Prime</v>
          </cell>
          <cell r="M115" t="str">
            <v>Non-Prime</v>
          </cell>
          <cell r="N115" t="str">
            <v>Non-Prime</v>
          </cell>
          <cell r="O115" t="str">
            <v>Non-Prime</v>
          </cell>
          <cell r="P115" t="str">
            <v>Non-Prime</v>
          </cell>
          <cell r="Q115" t="str">
            <v>Non-Prime</v>
          </cell>
          <cell r="R115" t="str">
            <v>Non-Prime</v>
          </cell>
          <cell r="S115" t="str">
            <v>Non-Prime</v>
          </cell>
          <cell r="T115" t="str">
            <v>Non-Prime</v>
          </cell>
          <cell r="U115" t="str">
            <v>Prime</v>
          </cell>
          <cell r="V115" t="str">
            <v>Prime</v>
          </cell>
          <cell r="W115" t="str">
            <v>Prime</v>
          </cell>
          <cell r="X115" t="str">
            <v>Prime</v>
          </cell>
          <cell r="Y115" t="str">
            <v>Non-Prime</v>
          </cell>
          <cell r="Z115" t="str">
            <v>Non-Prime</v>
          </cell>
          <cell r="AA115" t="str">
            <v>Non-Prime</v>
          </cell>
          <cell r="AB115" t="str">
            <v>Non-Prime</v>
          </cell>
          <cell r="AC115" t="str">
            <v>Non-Prime</v>
          </cell>
          <cell r="AD115" t="str">
            <v>Non-Prime</v>
          </cell>
          <cell r="AE115" t="str">
            <v>Non-Prime</v>
          </cell>
          <cell r="AF115" t="str">
            <v>Non-Prime</v>
          </cell>
        </row>
        <row r="116">
          <cell r="A116" t="str">
            <v>Lebanon</v>
          </cell>
          <cell r="B116" t="str">
            <v>Non-Prime</v>
          </cell>
          <cell r="C116" t="str">
            <v>Non-Prime</v>
          </cell>
          <cell r="D116" t="str">
            <v>Non-Prime</v>
          </cell>
          <cell r="E116" t="str">
            <v>Non-Prime</v>
          </cell>
          <cell r="F116" t="str">
            <v>Non-Prime</v>
          </cell>
          <cell r="G116" t="str">
            <v>Non-Prime</v>
          </cell>
          <cell r="H116" t="str">
            <v>Non-Prime</v>
          </cell>
          <cell r="I116" t="str">
            <v>Non-Prime</v>
          </cell>
          <cell r="J116" t="str">
            <v>Non-Prime</v>
          </cell>
          <cell r="K116" t="str">
            <v>Non-Prime</v>
          </cell>
          <cell r="L116" t="str">
            <v>Non-Prime</v>
          </cell>
          <cell r="M116" t="str">
            <v>Non-Prime</v>
          </cell>
          <cell r="N116" t="str">
            <v>Non-Prime</v>
          </cell>
          <cell r="O116" t="str">
            <v>Non-Prime</v>
          </cell>
          <cell r="P116" t="str">
            <v>Non-Prime</v>
          </cell>
          <cell r="Q116" t="str">
            <v>Non-Prime</v>
          </cell>
          <cell r="R116" t="str">
            <v>Non-Prime</v>
          </cell>
          <cell r="S116" t="str">
            <v>Non-Prime</v>
          </cell>
          <cell r="T116" t="str">
            <v>Prime</v>
          </cell>
          <cell r="U116" t="str">
            <v>Prime</v>
          </cell>
          <cell r="V116" t="str">
            <v>Prime</v>
          </cell>
          <cell r="W116" t="str">
            <v>Prime</v>
          </cell>
          <cell r="X116" t="str">
            <v>Prime</v>
          </cell>
          <cell r="Y116" t="str">
            <v>Prime</v>
          </cell>
          <cell r="Z116" t="str">
            <v>Non-Prime</v>
          </cell>
          <cell r="AA116" t="str">
            <v>Non-Prime</v>
          </cell>
          <cell r="AB116" t="str">
            <v>Non-Prime</v>
          </cell>
          <cell r="AC116" t="str">
            <v>Non-Prime</v>
          </cell>
          <cell r="AD116" t="str">
            <v>Non-Prime</v>
          </cell>
          <cell r="AE116" t="str">
            <v>Non-Prime</v>
          </cell>
          <cell r="AF116" t="str">
            <v>Non-Prime</v>
          </cell>
        </row>
        <row r="117">
          <cell r="A117" t="str">
            <v>Lesotho</v>
          </cell>
          <cell r="B117" t="str">
            <v>Non-Prime</v>
          </cell>
          <cell r="C117" t="str">
            <v>Non-Prime</v>
          </cell>
          <cell r="D117" t="str">
            <v>Non-Prime</v>
          </cell>
          <cell r="E117" t="str">
            <v>Non-Prime</v>
          </cell>
          <cell r="F117" t="str">
            <v>Non-Prime</v>
          </cell>
          <cell r="G117" t="str">
            <v>Non-Prime</v>
          </cell>
          <cell r="H117" t="str">
            <v>Non-Prime</v>
          </cell>
          <cell r="I117" t="str">
            <v>Non-Prime</v>
          </cell>
          <cell r="J117" t="str">
            <v>Non-Prime</v>
          </cell>
          <cell r="K117" t="str">
            <v>Non-Prime</v>
          </cell>
          <cell r="L117" t="str">
            <v>Non-Prime</v>
          </cell>
          <cell r="M117" t="str">
            <v>Non-Prime</v>
          </cell>
          <cell r="N117" t="str">
            <v>Non-Prime</v>
          </cell>
          <cell r="O117" t="str">
            <v>Non-Prime</v>
          </cell>
          <cell r="P117" t="str">
            <v>Non-Prime</v>
          </cell>
          <cell r="Q117" t="str">
            <v>Non-Prime</v>
          </cell>
          <cell r="R117" t="str">
            <v>Non-Prime</v>
          </cell>
          <cell r="S117" t="str">
            <v>Non-Prime</v>
          </cell>
          <cell r="T117" t="str">
            <v>Prime</v>
          </cell>
          <cell r="U117" t="str">
            <v>Prime</v>
          </cell>
          <cell r="V117" t="str">
            <v>Prime</v>
          </cell>
          <cell r="W117" t="str">
            <v>Prime</v>
          </cell>
          <cell r="X117" t="str">
            <v>Prime</v>
          </cell>
          <cell r="Y117" t="str">
            <v>Prime</v>
          </cell>
          <cell r="Z117" t="str">
            <v>Non-Prime</v>
          </cell>
          <cell r="AA117" t="str">
            <v>Non-Prime</v>
          </cell>
          <cell r="AB117" t="str">
            <v>Non-Prime</v>
          </cell>
          <cell r="AC117" t="str">
            <v>Non-Prime</v>
          </cell>
          <cell r="AD117" t="str">
            <v>Non-Prime</v>
          </cell>
          <cell r="AE117" t="str">
            <v>Non-Prime</v>
          </cell>
          <cell r="AF117" t="str">
            <v>Non-Prime</v>
          </cell>
        </row>
        <row r="118">
          <cell r="A118" t="str">
            <v>Liberia</v>
          </cell>
          <cell r="B118" t="str">
            <v>Non-Prime</v>
          </cell>
          <cell r="C118" t="str">
            <v>Non-Prime</v>
          </cell>
          <cell r="D118" t="str">
            <v>Non-Prime</v>
          </cell>
          <cell r="E118" t="str">
            <v>Non-Prime</v>
          </cell>
          <cell r="F118" t="str">
            <v>Non-Prime</v>
          </cell>
          <cell r="G118" t="str">
            <v>Non-Prime</v>
          </cell>
          <cell r="H118" t="str">
            <v>Non-Prime</v>
          </cell>
          <cell r="I118" t="str">
            <v>Non-Prime</v>
          </cell>
          <cell r="J118" t="str">
            <v>Non-Prime</v>
          </cell>
          <cell r="K118" t="str">
            <v>Non-Prime</v>
          </cell>
          <cell r="L118" t="str">
            <v>Non-Prime</v>
          </cell>
          <cell r="M118" t="str">
            <v>Non-Prime</v>
          </cell>
          <cell r="N118" t="str">
            <v>Non-Prime</v>
          </cell>
          <cell r="O118" t="str">
            <v>Non-Prime</v>
          </cell>
          <cell r="P118" t="str">
            <v>Non-Prime</v>
          </cell>
          <cell r="Q118" t="str">
            <v>Non-Prime</v>
          </cell>
          <cell r="R118" t="str">
            <v>Non-Prime</v>
          </cell>
          <cell r="S118" t="str">
            <v>Non-Prime</v>
          </cell>
          <cell r="T118" t="str">
            <v>Prime</v>
          </cell>
          <cell r="U118" t="str">
            <v>Prime</v>
          </cell>
          <cell r="V118" t="str">
            <v>Prime</v>
          </cell>
          <cell r="W118" t="str">
            <v>Prime</v>
          </cell>
          <cell r="X118" t="str">
            <v>Prime</v>
          </cell>
          <cell r="Y118" t="str">
            <v>Prime</v>
          </cell>
          <cell r="Z118" t="str">
            <v>Non-Prime</v>
          </cell>
          <cell r="AA118" t="str">
            <v>Non-Prime</v>
          </cell>
          <cell r="AB118" t="str">
            <v>Non-Prime</v>
          </cell>
          <cell r="AC118" t="str">
            <v>Non-Prime</v>
          </cell>
          <cell r="AD118" t="str">
            <v>Non-Prime</v>
          </cell>
          <cell r="AE118" t="str">
            <v>Non-Prime</v>
          </cell>
          <cell r="AF118" t="str">
            <v>Non-Prime</v>
          </cell>
        </row>
        <row r="119">
          <cell r="A119" t="str">
            <v>Libya</v>
          </cell>
          <cell r="B119" t="str">
            <v>Non-Prime</v>
          </cell>
          <cell r="C119" t="str">
            <v>Non-Prime</v>
          </cell>
          <cell r="D119" t="str">
            <v>Non-Prime</v>
          </cell>
          <cell r="E119" t="str">
            <v>Non-Prime</v>
          </cell>
          <cell r="F119" t="str">
            <v>Non-Prime</v>
          </cell>
          <cell r="G119" t="str">
            <v>Non-Prime</v>
          </cell>
          <cell r="H119" t="str">
            <v>Non-Prime</v>
          </cell>
          <cell r="I119" t="str">
            <v>Non-Prime</v>
          </cell>
          <cell r="J119" t="str">
            <v>Non-Prime</v>
          </cell>
          <cell r="K119" t="str">
            <v>Non-Prime</v>
          </cell>
          <cell r="L119" t="str">
            <v>Non-Prime</v>
          </cell>
          <cell r="M119" t="str">
            <v>Non-Prime</v>
          </cell>
          <cell r="N119" t="str">
            <v>Non-Prime</v>
          </cell>
          <cell r="O119" t="str">
            <v>Non-Prime</v>
          </cell>
          <cell r="P119" t="str">
            <v>Non-Prime</v>
          </cell>
          <cell r="Q119" t="str">
            <v>Non-Prime</v>
          </cell>
          <cell r="R119" t="str">
            <v>Non-Prime</v>
          </cell>
          <cell r="S119" t="str">
            <v>Non-Prime</v>
          </cell>
          <cell r="T119" t="str">
            <v>Prime</v>
          </cell>
          <cell r="U119" t="str">
            <v>Prime</v>
          </cell>
          <cell r="V119" t="str">
            <v>Prime</v>
          </cell>
          <cell r="W119" t="str">
            <v>Prime</v>
          </cell>
          <cell r="X119" t="str">
            <v>Prime</v>
          </cell>
          <cell r="Y119" t="str">
            <v>Prime</v>
          </cell>
          <cell r="Z119" t="str">
            <v>Non-Prime</v>
          </cell>
          <cell r="AA119" t="str">
            <v>Non-Prime</v>
          </cell>
          <cell r="AB119" t="str">
            <v>Non-Prime</v>
          </cell>
          <cell r="AC119" t="str">
            <v>Non-Prime</v>
          </cell>
          <cell r="AD119" t="str">
            <v>Non-Prime</v>
          </cell>
          <cell r="AE119" t="str">
            <v>Non-Prime</v>
          </cell>
          <cell r="AF119" t="str">
            <v>Non-Prime</v>
          </cell>
        </row>
        <row r="120">
          <cell r="A120" t="str">
            <v>Liechtenstein</v>
          </cell>
          <cell r="B120" t="str">
            <v>Non-Prime</v>
          </cell>
          <cell r="C120" t="str">
            <v>Non-Prime</v>
          </cell>
          <cell r="D120" t="str">
            <v>Non-Prime</v>
          </cell>
          <cell r="E120" t="str">
            <v>Non-Prime</v>
          </cell>
          <cell r="F120" t="str">
            <v>Non-Prime</v>
          </cell>
          <cell r="G120" t="str">
            <v>Non-Prime</v>
          </cell>
          <cell r="H120" t="str">
            <v>Non-Prime</v>
          </cell>
          <cell r="I120" t="str">
            <v>Non-Prime</v>
          </cell>
          <cell r="J120" t="str">
            <v>Non-Prime</v>
          </cell>
          <cell r="K120" t="str">
            <v>Non-Prime</v>
          </cell>
          <cell r="L120" t="str">
            <v>Non-Prime</v>
          </cell>
          <cell r="M120" t="str">
            <v>Non-Prime</v>
          </cell>
          <cell r="N120" t="str">
            <v>Non-Prime</v>
          </cell>
          <cell r="O120" t="str">
            <v>Non-Prime</v>
          </cell>
          <cell r="P120" t="str">
            <v>Non-Prime</v>
          </cell>
          <cell r="Q120" t="str">
            <v>Non-Prime</v>
          </cell>
          <cell r="R120" t="str">
            <v>Non-Prime</v>
          </cell>
          <cell r="S120" t="str">
            <v>Non-Prime</v>
          </cell>
          <cell r="T120" t="str">
            <v>Non-Prime</v>
          </cell>
          <cell r="U120" t="str">
            <v>Prime</v>
          </cell>
          <cell r="V120" t="str">
            <v>Prime</v>
          </cell>
          <cell r="W120" t="str">
            <v>Prime</v>
          </cell>
          <cell r="X120" t="str">
            <v>Prime</v>
          </cell>
          <cell r="Y120" t="str">
            <v>Non-Prime</v>
          </cell>
          <cell r="Z120" t="str">
            <v>Non-Prime</v>
          </cell>
          <cell r="AA120" t="str">
            <v>Non-Prime</v>
          </cell>
          <cell r="AB120" t="str">
            <v>Non-Prime</v>
          </cell>
          <cell r="AC120" t="str">
            <v>Non-Prime</v>
          </cell>
          <cell r="AD120" t="str">
            <v>Non-Prime</v>
          </cell>
          <cell r="AE120" t="str">
            <v>Non-Prime</v>
          </cell>
          <cell r="AF120" t="str">
            <v>Non-Prime</v>
          </cell>
        </row>
        <row r="121">
          <cell r="A121" t="str">
            <v>Lithuania</v>
          </cell>
          <cell r="B121" t="str">
            <v>Non-Prime</v>
          </cell>
          <cell r="C121" t="str">
            <v>Non-Prime</v>
          </cell>
          <cell r="D121" t="str">
            <v>Non-Prime</v>
          </cell>
          <cell r="E121" t="str">
            <v>Non-Prime</v>
          </cell>
          <cell r="F121" t="str">
            <v>Non-Prime</v>
          </cell>
          <cell r="G121" t="str">
            <v>Non-Prime</v>
          </cell>
          <cell r="H121" t="str">
            <v>Non-Prime</v>
          </cell>
          <cell r="I121" t="str">
            <v>Non-Prime</v>
          </cell>
          <cell r="J121" t="str">
            <v>Non-Prime</v>
          </cell>
          <cell r="K121" t="str">
            <v>Non-Prime</v>
          </cell>
          <cell r="L121" t="str">
            <v>Non-Prime</v>
          </cell>
          <cell r="M121" t="str">
            <v>Non-Prime</v>
          </cell>
          <cell r="N121" t="str">
            <v>Non-Prime</v>
          </cell>
          <cell r="O121" t="str">
            <v>Non-Prime</v>
          </cell>
          <cell r="P121" t="str">
            <v>Non-Prime</v>
          </cell>
          <cell r="Q121" t="str">
            <v>Non-Prime</v>
          </cell>
          <cell r="R121" t="str">
            <v>Non-Prime</v>
          </cell>
          <cell r="S121" t="str">
            <v>Non-Prime</v>
          </cell>
          <cell r="T121" t="str">
            <v>Non-Prime</v>
          </cell>
          <cell r="U121" t="str">
            <v>Prime</v>
          </cell>
          <cell r="V121" t="str">
            <v>Prime</v>
          </cell>
          <cell r="W121" t="str">
            <v>Prime</v>
          </cell>
          <cell r="X121" t="str">
            <v>Prime</v>
          </cell>
          <cell r="Y121" t="str">
            <v>Non-Prime</v>
          </cell>
          <cell r="Z121" t="str">
            <v>Non-Prime</v>
          </cell>
          <cell r="AA121" t="str">
            <v>Non-Prime</v>
          </cell>
          <cell r="AB121" t="str">
            <v>Non-Prime</v>
          </cell>
          <cell r="AC121" t="str">
            <v>Non-Prime</v>
          </cell>
          <cell r="AD121" t="str">
            <v>Non-Prime</v>
          </cell>
          <cell r="AE121" t="str">
            <v>Non-Prime</v>
          </cell>
          <cell r="AF121" t="str">
            <v>Non-Prime</v>
          </cell>
        </row>
        <row r="122">
          <cell r="A122" t="str">
            <v>Luxembourg</v>
          </cell>
          <cell r="B122" t="str">
            <v>Non-Prime</v>
          </cell>
          <cell r="C122" t="str">
            <v>Non-Prime</v>
          </cell>
          <cell r="D122" t="str">
            <v>Non-Prime</v>
          </cell>
          <cell r="E122" t="str">
            <v>Non-Prime</v>
          </cell>
          <cell r="F122" t="str">
            <v>Non-Prime</v>
          </cell>
          <cell r="G122" t="str">
            <v>Non-Prime</v>
          </cell>
          <cell r="H122" t="str">
            <v>Non-Prime</v>
          </cell>
          <cell r="I122" t="str">
            <v>Non-Prime</v>
          </cell>
          <cell r="J122" t="str">
            <v>Non-Prime</v>
          </cell>
          <cell r="K122" t="str">
            <v>Non-Prime</v>
          </cell>
          <cell r="L122" t="str">
            <v>Non-Prime</v>
          </cell>
          <cell r="M122" t="str">
            <v>Non-Prime</v>
          </cell>
          <cell r="N122" t="str">
            <v>Non-Prime</v>
          </cell>
          <cell r="O122" t="str">
            <v>Non-Prime</v>
          </cell>
          <cell r="P122" t="str">
            <v>Non-Prime</v>
          </cell>
          <cell r="Q122" t="str">
            <v>Non-Prime</v>
          </cell>
          <cell r="R122" t="str">
            <v>Non-Prime</v>
          </cell>
          <cell r="S122" t="str">
            <v>Non-Prime</v>
          </cell>
          <cell r="T122" t="str">
            <v>Non-Prime</v>
          </cell>
          <cell r="U122" t="str">
            <v>Prime</v>
          </cell>
          <cell r="V122" t="str">
            <v>Prime</v>
          </cell>
          <cell r="W122" t="str">
            <v>Prime</v>
          </cell>
          <cell r="X122" t="str">
            <v>Prime</v>
          </cell>
          <cell r="Y122" t="str">
            <v>Non-Prime</v>
          </cell>
          <cell r="Z122" t="str">
            <v>Non-Prime</v>
          </cell>
          <cell r="AA122" t="str">
            <v>Non-Prime</v>
          </cell>
          <cell r="AB122" t="str">
            <v>Non-Prime</v>
          </cell>
          <cell r="AC122" t="str">
            <v>Non-Prime</v>
          </cell>
          <cell r="AD122" t="str">
            <v>Non-Prime</v>
          </cell>
          <cell r="AE122" t="str">
            <v>Non-Prime</v>
          </cell>
          <cell r="AF122" t="str">
            <v>Non-Prime</v>
          </cell>
        </row>
        <row r="123">
          <cell r="A123" t="str">
            <v>Macao</v>
          </cell>
          <cell r="B123" t="str">
            <v>Non-Prime</v>
          </cell>
          <cell r="C123" t="str">
            <v>Non-Prime</v>
          </cell>
          <cell r="D123" t="str">
            <v>Non-Prime</v>
          </cell>
          <cell r="E123" t="str">
            <v>Non-Prime</v>
          </cell>
          <cell r="F123" t="str">
            <v>Non-Prime</v>
          </cell>
          <cell r="G123" t="str">
            <v>Non-Prime</v>
          </cell>
          <cell r="H123" t="str">
            <v>Non-Prime</v>
          </cell>
          <cell r="I123" t="str">
            <v>Non-Prime</v>
          </cell>
          <cell r="J123" t="str">
            <v>Non-Prime</v>
          </cell>
          <cell r="K123" t="str">
            <v>Non-Prime</v>
          </cell>
          <cell r="L123" t="str">
            <v>Non-Prime</v>
          </cell>
          <cell r="M123" t="str">
            <v>Non-Prime</v>
          </cell>
          <cell r="N123" t="str">
            <v>Non-Prime</v>
          </cell>
          <cell r="O123" t="str">
            <v>Non-Prime</v>
          </cell>
          <cell r="P123" t="str">
            <v>Non-Prime</v>
          </cell>
          <cell r="Q123" t="str">
            <v>Non-Prime</v>
          </cell>
          <cell r="R123" t="str">
            <v>Non-Prime</v>
          </cell>
          <cell r="S123" t="str">
            <v>Non-Prime</v>
          </cell>
          <cell r="T123" t="str">
            <v>Non-Prime</v>
          </cell>
          <cell r="U123" t="str">
            <v>Prime</v>
          </cell>
          <cell r="V123" t="str">
            <v>Prime</v>
          </cell>
          <cell r="W123" t="str">
            <v>Prime</v>
          </cell>
          <cell r="X123" t="str">
            <v>Non-Prime</v>
          </cell>
          <cell r="Y123" t="str">
            <v>Non-Prime</v>
          </cell>
          <cell r="Z123" t="str">
            <v>Non-Prime</v>
          </cell>
          <cell r="AA123" t="str">
            <v>Non-Prime</v>
          </cell>
          <cell r="AB123" t="str">
            <v>Non-Prime</v>
          </cell>
          <cell r="AC123" t="str">
            <v>Non-Prime</v>
          </cell>
          <cell r="AD123" t="str">
            <v>Non-Prime</v>
          </cell>
          <cell r="AE123" t="str">
            <v>Non-Prime</v>
          </cell>
          <cell r="AF123" t="str">
            <v>Non-Prime</v>
          </cell>
        </row>
        <row r="124">
          <cell r="A124" t="str">
            <v>Macedonia</v>
          </cell>
          <cell r="B124" t="str">
            <v>Non-Prime</v>
          </cell>
          <cell r="C124" t="str">
            <v>Non-Prime</v>
          </cell>
          <cell r="D124" t="str">
            <v>Non-Prime</v>
          </cell>
          <cell r="E124" t="str">
            <v>Non-Prime</v>
          </cell>
          <cell r="F124" t="str">
            <v>Non-Prime</v>
          </cell>
          <cell r="G124" t="str">
            <v>Non-Prime</v>
          </cell>
          <cell r="H124" t="str">
            <v>Non-Prime</v>
          </cell>
          <cell r="I124" t="str">
            <v>Non-Prime</v>
          </cell>
          <cell r="J124" t="str">
            <v>Non-Prime</v>
          </cell>
          <cell r="K124" t="str">
            <v>Non-Prime</v>
          </cell>
          <cell r="L124" t="str">
            <v>Non-Prime</v>
          </cell>
          <cell r="M124" t="str">
            <v>Non-Prime</v>
          </cell>
          <cell r="N124" t="str">
            <v>Non-Prime</v>
          </cell>
          <cell r="O124" t="str">
            <v>Non-Prime</v>
          </cell>
          <cell r="P124" t="str">
            <v>Non-Prime</v>
          </cell>
          <cell r="Q124" t="str">
            <v>Non-Prime</v>
          </cell>
          <cell r="R124" t="str">
            <v>Non-Prime</v>
          </cell>
          <cell r="S124" t="str">
            <v>Non-Prime</v>
          </cell>
          <cell r="T124" t="str">
            <v>Non-Prime</v>
          </cell>
          <cell r="U124" t="str">
            <v>Prime</v>
          </cell>
          <cell r="V124" t="str">
            <v>Prime</v>
          </cell>
          <cell r="W124" t="str">
            <v>Prime</v>
          </cell>
          <cell r="X124" t="str">
            <v>Prime</v>
          </cell>
          <cell r="Y124" t="str">
            <v>Non-Prime</v>
          </cell>
          <cell r="Z124" t="str">
            <v>Non-Prime</v>
          </cell>
          <cell r="AA124" t="str">
            <v>Non-Prime</v>
          </cell>
          <cell r="AB124" t="str">
            <v>Non-Prime</v>
          </cell>
          <cell r="AC124" t="str">
            <v>Non-Prime</v>
          </cell>
          <cell r="AD124" t="str">
            <v>Non-Prime</v>
          </cell>
          <cell r="AE124" t="str">
            <v>Non-Prime</v>
          </cell>
          <cell r="AF124" t="str">
            <v>Non-Prime</v>
          </cell>
        </row>
        <row r="125">
          <cell r="A125" t="str">
            <v>Madagascar</v>
          </cell>
          <cell r="B125" t="str">
            <v>Non-Prime</v>
          </cell>
          <cell r="C125" t="str">
            <v>Non-Prime</v>
          </cell>
          <cell r="D125" t="str">
            <v>Non-Prime</v>
          </cell>
          <cell r="E125" t="str">
            <v>Non-Prime</v>
          </cell>
          <cell r="F125" t="str">
            <v>Non-Prime</v>
          </cell>
          <cell r="G125" t="str">
            <v>Non-Prime</v>
          </cell>
          <cell r="H125" t="str">
            <v>Non-Prime</v>
          </cell>
          <cell r="I125" t="str">
            <v>Non-Prime</v>
          </cell>
          <cell r="J125" t="str">
            <v>Non-Prime</v>
          </cell>
          <cell r="K125" t="str">
            <v>Non-Prime</v>
          </cell>
          <cell r="L125" t="str">
            <v>Non-Prime</v>
          </cell>
          <cell r="M125" t="str">
            <v>Non-Prime</v>
          </cell>
          <cell r="N125" t="str">
            <v>Non-Prime</v>
          </cell>
          <cell r="O125" t="str">
            <v>Non-Prime</v>
          </cell>
          <cell r="P125" t="str">
            <v>Non-Prime</v>
          </cell>
          <cell r="Q125" t="str">
            <v>Non-Prime</v>
          </cell>
          <cell r="R125" t="str">
            <v>Non-Prime</v>
          </cell>
          <cell r="S125" t="str">
            <v>Non-Prime</v>
          </cell>
          <cell r="T125" t="str">
            <v>Prime</v>
          </cell>
          <cell r="U125" t="str">
            <v>Prime</v>
          </cell>
          <cell r="V125" t="str">
            <v>Prime</v>
          </cell>
          <cell r="W125" t="str">
            <v>Prime</v>
          </cell>
          <cell r="X125" t="str">
            <v>Prime</v>
          </cell>
          <cell r="Y125" t="str">
            <v>Prime</v>
          </cell>
          <cell r="Z125" t="str">
            <v>Non-Prime</v>
          </cell>
          <cell r="AA125" t="str">
            <v>Non-Prime</v>
          </cell>
          <cell r="AB125" t="str">
            <v>Non-Prime</v>
          </cell>
          <cell r="AC125" t="str">
            <v>Non-Prime</v>
          </cell>
          <cell r="AD125" t="str">
            <v>Non-Prime</v>
          </cell>
          <cell r="AE125" t="str">
            <v>Non-Prime</v>
          </cell>
          <cell r="AF125" t="str">
            <v>Non-Prime</v>
          </cell>
        </row>
        <row r="126">
          <cell r="A126" t="str">
            <v>Malawi</v>
          </cell>
          <cell r="B126" t="str">
            <v>Non-Prime</v>
          </cell>
          <cell r="C126" t="str">
            <v>Non-Prime</v>
          </cell>
          <cell r="D126" t="str">
            <v>Non-Prime</v>
          </cell>
          <cell r="E126" t="str">
            <v>Non-Prime</v>
          </cell>
          <cell r="F126" t="str">
            <v>Non-Prime</v>
          </cell>
          <cell r="G126" t="str">
            <v>Non-Prime</v>
          </cell>
          <cell r="H126" t="str">
            <v>Non-Prime</v>
          </cell>
          <cell r="I126" t="str">
            <v>Non-Prime</v>
          </cell>
          <cell r="J126" t="str">
            <v>Non-Prime</v>
          </cell>
          <cell r="K126" t="str">
            <v>Non-Prime</v>
          </cell>
          <cell r="L126" t="str">
            <v>Non-Prime</v>
          </cell>
          <cell r="M126" t="str">
            <v>Non-Prime</v>
          </cell>
          <cell r="N126" t="str">
            <v>Non-Prime</v>
          </cell>
          <cell r="O126" t="str">
            <v>Non-Prime</v>
          </cell>
          <cell r="P126" t="str">
            <v>Non-Prime</v>
          </cell>
          <cell r="Q126" t="str">
            <v>Non-Prime</v>
          </cell>
          <cell r="R126" t="str">
            <v>Non-Prime</v>
          </cell>
          <cell r="S126" t="str">
            <v>Non-Prime</v>
          </cell>
          <cell r="T126" t="str">
            <v>Prime</v>
          </cell>
          <cell r="U126" t="str">
            <v>Prime</v>
          </cell>
          <cell r="V126" t="str">
            <v>Prime</v>
          </cell>
          <cell r="W126" t="str">
            <v>Prime</v>
          </cell>
          <cell r="X126" t="str">
            <v>Prime</v>
          </cell>
          <cell r="Y126" t="str">
            <v>Prime</v>
          </cell>
          <cell r="Z126" t="str">
            <v>Non-Prime</v>
          </cell>
          <cell r="AA126" t="str">
            <v>Non-Prime</v>
          </cell>
          <cell r="AB126" t="str">
            <v>Non-Prime</v>
          </cell>
          <cell r="AC126" t="str">
            <v>Non-Prime</v>
          </cell>
          <cell r="AD126" t="str">
            <v>Non-Prime</v>
          </cell>
          <cell r="AE126" t="str">
            <v>Non-Prime</v>
          </cell>
          <cell r="AF126" t="str">
            <v>Non-Prime</v>
          </cell>
        </row>
        <row r="127">
          <cell r="A127" t="str">
            <v>Malaysia</v>
          </cell>
          <cell r="B127" t="str">
            <v>Non-Prime</v>
          </cell>
          <cell r="C127" t="str">
            <v>Non-Prime</v>
          </cell>
          <cell r="D127" t="str">
            <v>Non-Prime</v>
          </cell>
          <cell r="E127" t="str">
            <v>Non-Prime</v>
          </cell>
          <cell r="F127" t="str">
            <v>Non-Prime</v>
          </cell>
          <cell r="G127" t="str">
            <v>Non-Prime</v>
          </cell>
          <cell r="H127" t="str">
            <v>Non-Prime</v>
          </cell>
          <cell r="I127" t="str">
            <v>Non-Prime</v>
          </cell>
          <cell r="J127" t="str">
            <v>Non-Prime</v>
          </cell>
          <cell r="K127" t="str">
            <v>Non-Prime</v>
          </cell>
          <cell r="L127" t="str">
            <v>Non-Prime</v>
          </cell>
          <cell r="M127" t="str">
            <v>Non-Prime</v>
          </cell>
          <cell r="N127" t="str">
            <v>Non-Prime</v>
          </cell>
          <cell r="O127" t="str">
            <v>Non-Prime</v>
          </cell>
          <cell r="P127" t="str">
            <v>Non-Prime</v>
          </cell>
          <cell r="Q127" t="str">
            <v>Non-Prime</v>
          </cell>
          <cell r="R127" t="str">
            <v>Non-Prime</v>
          </cell>
          <cell r="S127" t="str">
            <v>Non-Prime</v>
          </cell>
          <cell r="T127" t="str">
            <v>Non-Prime</v>
          </cell>
          <cell r="U127" t="str">
            <v>Non-Prime</v>
          </cell>
          <cell r="V127" t="str">
            <v>Prime</v>
          </cell>
          <cell r="W127" t="str">
            <v>Prime</v>
          </cell>
          <cell r="X127" t="str">
            <v>Prime</v>
          </cell>
          <cell r="Y127" t="str">
            <v>Prime</v>
          </cell>
          <cell r="Z127" t="str">
            <v>Non-Prime</v>
          </cell>
          <cell r="AA127" t="str">
            <v>Non-Prime</v>
          </cell>
          <cell r="AB127" t="str">
            <v>Non-Prime</v>
          </cell>
          <cell r="AC127" t="str">
            <v>Non-Prime</v>
          </cell>
          <cell r="AD127" t="str">
            <v>Non-Prime</v>
          </cell>
          <cell r="AE127" t="str">
            <v>Non-Prime</v>
          </cell>
          <cell r="AF127" t="str">
            <v>Non-Prime</v>
          </cell>
        </row>
        <row r="128">
          <cell r="A128" t="str">
            <v>Maldives</v>
          </cell>
          <cell r="B128" t="str">
            <v>Non-Prime</v>
          </cell>
          <cell r="C128" t="str">
            <v>Non-Prime</v>
          </cell>
          <cell r="D128" t="str">
            <v>Non-Prime</v>
          </cell>
          <cell r="E128" t="str">
            <v>Non-Prime</v>
          </cell>
          <cell r="F128" t="str">
            <v>Non-Prime</v>
          </cell>
          <cell r="G128" t="str">
            <v>Non-Prime</v>
          </cell>
          <cell r="H128" t="str">
            <v>Non-Prime</v>
          </cell>
          <cell r="I128" t="str">
            <v>Non-Prime</v>
          </cell>
          <cell r="J128" t="str">
            <v>Non-Prime</v>
          </cell>
          <cell r="K128" t="str">
            <v>Non-Prime</v>
          </cell>
          <cell r="L128" t="str">
            <v>Non-Prime</v>
          </cell>
          <cell r="M128" t="str">
            <v>Non-Prime</v>
          </cell>
          <cell r="N128" t="str">
            <v>Non-Prime</v>
          </cell>
          <cell r="O128" t="str">
            <v>Non-Prime</v>
          </cell>
          <cell r="P128" t="str">
            <v>Non-Prime</v>
          </cell>
          <cell r="Q128" t="str">
            <v>Non-Prime</v>
          </cell>
          <cell r="R128" t="str">
            <v>Non-Prime</v>
          </cell>
          <cell r="S128" t="str">
            <v>Non-Prime</v>
          </cell>
          <cell r="T128" t="str">
            <v>Prime</v>
          </cell>
          <cell r="U128" t="str">
            <v>Prime</v>
          </cell>
          <cell r="V128" t="str">
            <v>Prime</v>
          </cell>
          <cell r="W128" t="str">
            <v>Prime</v>
          </cell>
          <cell r="X128" t="str">
            <v>Prime</v>
          </cell>
          <cell r="Y128" t="str">
            <v>Prime</v>
          </cell>
          <cell r="Z128" t="str">
            <v>Non-Prime</v>
          </cell>
          <cell r="AA128" t="str">
            <v>Non-Prime</v>
          </cell>
          <cell r="AB128" t="str">
            <v>Non-Prime</v>
          </cell>
          <cell r="AC128" t="str">
            <v>Non-Prime</v>
          </cell>
          <cell r="AD128" t="str">
            <v>Non-Prime</v>
          </cell>
          <cell r="AE128" t="str">
            <v>Non-Prime</v>
          </cell>
          <cell r="AF128" t="str">
            <v>Non-Prime</v>
          </cell>
        </row>
        <row r="129">
          <cell r="A129" t="str">
            <v>Mali</v>
          </cell>
          <cell r="B129" t="str">
            <v>Non-Prime</v>
          </cell>
          <cell r="C129" t="str">
            <v>Non-Prime</v>
          </cell>
          <cell r="D129" t="str">
            <v>Non-Prime</v>
          </cell>
          <cell r="E129" t="str">
            <v>Non-Prime</v>
          </cell>
          <cell r="F129" t="str">
            <v>Non-Prime</v>
          </cell>
          <cell r="G129" t="str">
            <v>Non-Prime</v>
          </cell>
          <cell r="H129" t="str">
            <v>Non-Prime</v>
          </cell>
          <cell r="I129" t="str">
            <v>Non-Prime</v>
          </cell>
          <cell r="J129" t="str">
            <v>Non-Prime</v>
          </cell>
          <cell r="K129" t="str">
            <v>Non-Prime</v>
          </cell>
          <cell r="L129" t="str">
            <v>Non-Prime</v>
          </cell>
          <cell r="M129" t="str">
            <v>Non-Prime</v>
          </cell>
          <cell r="N129" t="str">
            <v>Non-Prime</v>
          </cell>
          <cell r="O129" t="str">
            <v>Non-Prime</v>
          </cell>
          <cell r="P129" t="str">
            <v>Non-Prime</v>
          </cell>
          <cell r="Q129" t="str">
            <v>Non-Prime</v>
          </cell>
          <cell r="R129" t="str">
            <v>Non-Prime</v>
          </cell>
          <cell r="S129" t="str">
            <v>Non-Prime</v>
          </cell>
          <cell r="T129" t="str">
            <v>Prime</v>
          </cell>
          <cell r="U129" t="str">
            <v>Prime</v>
          </cell>
          <cell r="V129" t="str">
            <v>Prime</v>
          </cell>
          <cell r="W129" t="str">
            <v>Prime</v>
          </cell>
          <cell r="X129" t="str">
            <v>Prime</v>
          </cell>
          <cell r="Y129" t="str">
            <v>Prime</v>
          </cell>
          <cell r="Z129" t="str">
            <v>Non-Prime</v>
          </cell>
          <cell r="AA129" t="str">
            <v>Non-Prime</v>
          </cell>
          <cell r="AB129" t="str">
            <v>Non-Prime</v>
          </cell>
          <cell r="AC129" t="str">
            <v>Non-Prime</v>
          </cell>
          <cell r="AD129" t="str">
            <v>Non-Prime</v>
          </cell>
          <cell r="AE129" t="str">
            <v>Non-Prime</v>
          </cell>
          <cell r="AF129" t="str">
            <v>Non-Prime</v>
          </cell>
        </row>
        <row r="130">
          <cell r="A130" t="str">
            <v>Malta</v>
          </cell>
          <cell r="B130" t="str">
            <v>Non-Prime</v>
          </cell>
          <cell r="C130" t="str">
            <v>Non-Prime</v>
          </cell>
          <cell r="D130" t="str">
            <v>Non-Prime</v>
          </cell>
          <cell r="E130" t="str">
            <v>Non-Prime</v>
          </cell>
          <cell r="F130" t="str">
            <v>Non-Prime</v>
          </cell>
          <cell r="G130" t="str">
            <v>Non-Prime</v>
          </cell>
          <cell r="H130" t="str">
            <v>Non-Prime</v>
          </cell>
          <cell r="I130" t="str">
            <v>Non-Prime</v>
          </cell>
          <cell r="J130" t="str">
            <v>Non-Prime</v>
          </cell>
          <cell r="K130" t="str">
            <v>Non-Prime</v>
          </cell>
          <cell r="L130" t="str">
            <v>Non-Prime</v>
          </cell>
          <cell r="M130" t="str">
            <v>Non-Prime</v>
          </cell>
          <cell r="N130" t="str">
            <v>Non-Prime</v>
          </cell>
          <cell r="O130" t="str">
            <v>Non-Prime</v>
          </cell>
          <cell r="P130" t="str">
            <v>Non-Prime</v>
          </cell>
          <cell r="Q130" t="str">
            <v>Non-Prime</v>
          </cell>
          <cell r="R130" t="str">
            <v>Non-Prime</v>
          </cell>
          <cell r="S130" t="str">
            <v>Non-Prime</v>
          </cell>
          <cell r="T130" t="str">
            <v>Prime</v>
          </cell>
          <cell r="U130" t="str">
            <v>Prime</v>
          </cell>
          <cell r="V130" t="str">
            <v>Prime</v>
          </cell>
          <cell r="W130" t="str">
            <v>Prime</v>
          </cell>
          <cell r="X130" t="str">
            <v>Prime</v>
          </cell>
          <cell r="Y130" t="str">
            <v>Prime</v>
          </cell>
          <cell r="Z130" t="str">
            <v>Non-Prime</v>
          </cell>
          <cell r="AA130" t="str">
            <v>Non-Prime</v>
          </cell>
          <cell r="AB130" t="str">
            <v>Non-Prime</v>
          </cell>
          <cell r="AC130" t="str">
            <v>Non-Prime</v>
          </cell>
          <cell r="AD130" t="str">
            <v>Non-Prime</v>
          </cell>
          <cell r="AE130" t="str">
            <v>Non-Prime</v>
          </cell>
          <cell r="AF130" t="str">
            <v>Non-Prime</v>
          </cell>
        </row>
        <row r="131">
          <cell r="A131" t="str">
            <v>Marshall Islands</v>
          </cell>
          <cell r="B131" t="str">
            <v>Non-Prime</v>
          </cell>
          <cell r="C131" t="str">
            <v>Non-Prime</v>
          </cell>
          <cell r="D131" t="str">
            <v>Non-Prime</v>
          </cell>
          <cell r="E131" t="str">
            <v>Non-Prime</v>
          </cell>
          <cell r="F131" t="str">
            <v>Non-Prime</v>
          </cell>
          <cell r="G131" t="str">
            <v>Non-Prime</v>
          </cell>
          <cell r="H131" t="str">
            <v>Non-Prime</v>
          </cell>
          <cell r="I131" t="str">
            <v>Non-Prime</v>
          </cell>
          <cell r="J131" t="str">
            <v>Non-Prime</v>
          </cell>
          <cell r="K131" t="str">
            <v>Non-Prime</v>
          </cell>
          <cell r="L131" t="str">
            <v>Non-Prime</v>
          </cell>
          <cell r="M131" t="str">
            <v>Non-Prime</v>
          </cell>
          <cell r="N131" t="str">
            <v>Non-Prime</v>
          </cell>
          <cell r="O131" t="str">
            <v>Non-Prime</v>
          </cell>
          <cell r="P131" t="str">
            <v>Non-Prime</v>
          </cell>
          <cell r="Q131" t="str">
            <v>Non-Prime</v>
          </cell>
          <cell r="R131" t="str">
            <v>Non-Prime</v>
          </cell>
          <cell r="S131" t="str">
            <v>Non-Prime</v>
          </cell>
          <cell r="T131" t="str">
            <v>Prime</v>
          </cell>
          <cell r="U131" t="str">
            <v>Prime</v>
          </cell>
          <cell r="V131" t="str">
            <v>Prime</v>
          </cell>
          <cell r="W131" t="str">
            <v>Prime</v>
          </cell>
          <cell r="X131" t="str">
            <v>Prime</v>
          </cell>
          <cell r="Y131" t="str">
            <v>Prime</v>
          </cell>
          <cell r="Z131" t="str">
            <v>Non-Prime</v>
          </cell>
          <cell r="AA131" t="str">
            <v>Non-Prime</v>
          </cell>
          <cell r="AB131" t="str">
            <v>Non-Prime</v>
          </cell>
          <cell r="AC131" t="str">
            <v>Non-Prime</v>
          </cell>
          <cell r="AD131" t="str">
            <v>Non-Prime</v>
          </cell>
          <cell r="AE131" t="str">
            <v>Non-Prime</v>
          </cell>
          <cell r="AF131" t="str">
            <v>Non-Prime</v>
          </cell>
        </row>
        <row r="132">
          <cell r="A132" t="str">
            <v>Martinique</v>
          </cell>
          <cell r="B132" t="str">
            <v>Non-Prime</v>
          </cell>
          <cell r="C132" t="str">
            <v>Non-Prime</v>
          </cell>
          <cell r="D132" t="str">
            <v>Non-Prime</v>
          </cell>
          <cell r="E132" t="str">
            <v>Non-Prime</v>
          </cell>
          <cell r="F132" t="str">
            <v>Non-Prime</v>
          </cell>
          <cell r="G132" t="str">
            <v>Non-Prime</v>
          </cell>
          <cell r="H132" t="str">
            <v>Non-Prime</v>
          </cell>
          <cell r="I132" t="str">
            <v>Non-Prime</v>
          </cell>
          <cell r="J132" t="str">
            <v>Non-Prime</v>
          </cell>
          <cell r="K132" t="str">
            <v>Non-Prime</v>
          </cell>
          <cell r="L132" t="str">
            <v>Non-Prime</v>
          </cell>
          <cell r="M132" t="str">
            <v>Non-Prime</v>
          </cell>
          <cell r="N132" t="str">
            <v>Non-Prime</v>
          </cell>
          <cell r="O132" t="str">
            <v>Non-Prime</v>
          </cell>
          <cell r="P132" t="str">
            <v>Non-Prime</v>
          </cell>
          <cell r="Q132" t="str">
            <v>Non-Prime</v>
          </cell>
          <cell r="R132" t="str">
            <v>Non-Prime</v>
          </cell>
          <cell r="S132" t="str">
            <v>Non-Prime</v>
          </cell>
          <cell r="T132" t="str">
            <v>Prime</v>
          </cell>
          <cell r="U132" t="str">
            <v>Prime</v>
          </cell>
          <cell r="V132" t="str">
            <v>Prime</v>
          </cell>
          <cell r="W132" t="str">
            <v>Prime</v>
          </cell>
          <cell r="X132" t="str">
            <v>Prime</v>
          </cell>
          <cell r="Y132" t="str">
            <v>Prime</v>
          </cell>
          <cell r="Z132" t="str">
            <v>Non-Prime</v>
          </cell>
          <cell r="AA132" t="str">
            <v>Non-Prime</v>
          </cell>
          <cell r="AB132" t="str">
            <v>Non-Prime</v>
          </cell>
          <cell r="AC132" t="str">
            <v>Non-Prime</v>
          </cell>
          <cell r="AD132" t="str">
            <v>Non-Prime</v>
          </cell>
          <cell r="AE132" t="str">
            <v>Non-Prime</v>
          </cell>
          <cell r="AF132" t="str">
            <v>Non-Prime</v>
          </cell>
        </row>
        <row r="133">
          <cell r="A133" t="str">
            <v>Mauritania</v>
          </cell>
          <cell r="B133" t="str">
            <v>Non-Prime</v>
          </cell>
          <cell r="C133" t="str">
            <v>Non-Prime</v>
          </cell>
          <cell r="D133" t="str">
            <v>Non-Prime</v>
          </cell>
          <cell r="E133" t="str">
            <v>Non-Prime</v>
          </cell>
          <cell r="F133" t="str">
            <v>Non-Prime</v>
          </cell>
          <cell r="G133" t="str">
            <v>Non-Prime</v>
          </cell>
          <cell r="H133" t="str">
            <v>Non-Prime</v>
          </cell>
          <cell r="I133" t="str">
            <v>Non-Prime</v>
          </cell>
          <cell r="J133" t="str">
            <v>Non-Prime</v>
          </cell>
          <cell r="K133" t="str">
            <v>Non-Prime</v>
          </cell>
          <cell r="L133" t="str">
            <v>Non-Prime</v>
          </cell>
          <cell r="M133" t="str">
            <v>Non-Prime</v>
          </cell>
          <cell r="N133" t="str">
            <v>Non-Prime</v>
          </cell>
          <cell r="O133" t="str">
            <v>Non-Prime</v>
          </cell>
          <cell r="P133" t="str">
            <v>Non-Prime</v>
          </cell>
          <cell r="Q133" t="str">
            <v>Non-Prime</v>
          </cell>
          <cell r="R133" t="str">
            <v>Non-Prime</v>
          </cell>
          <cell r="S133" t="str">
            <v>Non-Prime</v>
          </cell>
          <cell r="T133" t="str">
            <v>Prime</v>
          </cell>
          <cell r="U133" t="str">
            <v>Prime</v>
          </cell>
          <cell r="V133" t="str">
            <v>Prime</v>
          </cell>
          <cell r="W133" t="str">
            <v>Prime</v>
          </cell>
          <cell r="X133" t="str">
            <v>Prime</v>
          </cell>
          <cell r="Y133" t="str">
            <v>Prime</v>
          </cell>
          <cell r="Z133" t="str">
            <v>Non-Prime</v>
          </cell>
          <cell r="AA133" t="str">
            <v>Non-Prime</v>
          </cell>
          <cell r="AB133" t="str">
            <v>Non-Prime</v>
          </cell>
          <cell r="AC133" t="str">
            <v>Non-Prime</v>
          </cell>
          <cell r="AD133" t="str">
            <v>Non-Prime</v>
          </cell>
          <cell r="AE133" t="str">
            <v>Non-Prime</v>
          </cell>
          <cell r="AF133" t="str">
            <v>Non-Prime</v>
          </cell>
        </row>
        <row r="134">
          <cell r="A134" t="str">
            <v>Mauritius</v>
          </cell>
          <cell r="B134" t="str">
            <v>Non-Prime</v>
          </cell>
          <cell r="C134" t="str">
            <v>Non-Prime</v>
          </cell>
          <cell r="D134" t="str">
            <v>Non-Prime</v>
          </cell>
          <cell r="E134" t="str">
            <v>Non-Prime</v>
          </cell>
          <cell r="F134" t="str">
            <v>Non-Prime</v>
          </cell>
          <cell r="G134" t="str">
            <v>Non-Prime</v>
          </cell>
          <cell r="H134" t="str">
            <v>Non-Prime</v>
          </cell>
          <cell r="I134" t="str">
            <v>Non-Prime</v>
          </cell>
          <cell r="J134" t="str">
            <v>Non-Prime</v>
          </cell>
          <cell r="K134" t="str">
            <v>Non-Prime</v>
          </cell>
          <cell r="L134" t="str">
            <v>Non-Prime</v>
          </cell>
          <cell r="M134" t="str">
            <v>Non-Prime</v>
          </cell>
          <cell r="N134" t="str">
            <v>Non-Prime</v>
          </cell>
          <cell r="O134" t="str">
            <v>Non-Prime</v>
          </cell>
          <cell r="P134" t="str">
            <v>Non-Prime</v>
          </cell>
          <cell r="Q134" t="str">
            <v>Non-Prime</v>
          </cell>
          <cell r="R134" t="str">
            <v>Non-Prime</v>
          </cell>
          <cell r="S134" t="str">
            <v>Non-Prime</v>
          </cell>
          <cell r="T134" t="str">
            <v>Prime</v>
          </cell>
          <cell r="U134" t="str">
            <v>Prime</v>
          </cell>
          <cell r="V134" t="str">
            <v>Prime</v>
          </cell>
          <cell r="W134" t="str">
            <v>Prime</v>
          </cell>
          <cell r="X134" t="str">
            <v>Prime</v>
          </cell>
          <cell r="Y134" t="str">
            <v>Prime</v>
          </cell>
          <cell r="Z134" t="str">
            <v>Non-Prime</v>
          </cell>
          <cell r="AA134" t="str">
            <v>Non-Prime</v>
          </cell>
          <cell r="AB134" t="str">
            <v>Non-Prime</v>
          </cell>
          <cell r="AC134" t="str">
            <v>Non-Prime</v>
          </cell>
          <cell r="AD134" t="str">
            <v>Non-Prime</v>
          </cell>
          <cell r="AE134" t="str">
            <v>Non-Prime</v>
          </cell>
          <cell r="AF134" t="str">
            <v>Non-Prime</v>
          </cell>
        </row>
        <row r="135">
          <cell r="A135" t="str">
            <v>Mayotte</v>
          </cell>
          <cell r="B135" t="str">
            <v>Non-Prime</v>
          </cell>
          <cell r="C135" t="str">
            <v>Non-Prime</v>
          </cell>
          <cell r="D135" t="str">
            <v>Non-Prime</v>
          </cell>
          <cell r="E135" t="str">
            <v>Non-Prime</v>
          </cell>
          <cell r="F135" t="str">
            <v>Non-Prime</v>
          </cell>
          <cell r="G135" t="str">
            <v>Non-Prime</v>
          </cell>
          <cell r="H135" t="str">
            <v>Non-Prime</v>
          </cell>
          <cell r="I135" t="str">
            <v>Non-Prime</v>
          </cell>
          <cell r="J135" t="str">
            <v>Non-Prime</v>
          </cell>
          <cell r="K135" t="str">
            <v>Non-Prime</v>
          </cell>
          <cell r="L135" t="str">
            <v>Non-Prime</v>
          </cell>
          <cell r="M135" t="str">
            <v>Non-Prime</v>
          </cell>
          <cell r="N135" t="str">
            <v>Non-Prime</v>
          </cell>
          <cell r="O135" t="str">
            <v>Non-Prime</v>
          </cell>
          <cell r="P135" t="str">
            <v>Non-Prime</v>
          </cell>
          <cell r="Q135" t="str">
            <v>Non-Prime</v>
          </cell>
          <cell r="R135" t="str">
            <v>Non-Prime</v>
          </cell>
          <cell r="S135" t="str">
            <v>Non-Prime</v>
          </cell>
          <cell r="T135" t="str">
            <v>Prime</v>
          </cell>
          <cell r="U135" t="str">
            <v>Prime</v>
          </cell>
          <cell r="V135" t="str">
            <v>Prime</v>
          </cell>
          <cell r="W135" t="str">
            <v>Prime</v>
          </cell>
          <cell r="X135" t="str">
            <v>Prime</v>
          </cell>
          <cell r="Y135" t="str">
            <v>Prime</v>
          </cell>
          <cell r="Z135" t="str">
            <v>Non-Prime</v>
          </cell>
          <cell r="AA135" t="str">
            <v>Non-Prime</v>
          </cell>
          <cell r="AB135" t="str">
            <v>Non-Prime</v>
          </cell>
          <cell r="AC135" t="str">
            <v>Non-Prime</v>
          </cell>
          <cell r="AD135" t="str">
            <v>Non-Prime</v>
          </cell>
          <cell r="AE135" t="str">
            <v>Non-Prime</v>
          </cell>
          <cell r="AF135" t="str">
            <v>Non-Prime</v>
          </cell>
        </row>
        <row r="136">
          <cell r="A136" t="str">
            <v>MENA</v>
          </cell>
          <cell r="B136" t="str">
            <v>Non-Prime</v>
          </cell>
          <cell r="C136" t="str">
            <v>Non-Prime</v>
          </cell>
          <cell r="D136" t="str">
            <v>Non-Prime</v>
          </cell>
          <cell r="E136" t="str">
            <v>Non-Prime</v>
          </cell>
          <cell r="F136" t="str">
            <v>Non-Prime</v>
          </cell>
          <cell r="G136" t="str">
            <v>Non-Prime</v>
          </cell>
          <cell r="H136" t="str">
            <v>Non-Prime</v>
          </cell>
          <cell r="I136" t="str">
            <v>Non-Prime</v>
          </cell>
          <cell r="J136" t="str">
            <v>Non-Prime</v>
          </cell>
          <cell r="K136" t="str">
            <v>Non-Prime</v>
          </cell>
          <cell r="L136" t="str">
            <v>Non-Prime</v>
          </cell>
          <cell r="M136" t="str">
            <v>Non-Prime</v>
          </cell>
          <cell r="N136" t="str">
            <v>Non-Prime</v>
          </cell>
          <cell r="O136" t="str">
            <v>Non-Prime</v>
          </cell>
          <cell r="P136" t="str">
            <v>Non-Prime</v>
          </cell>
          <cell r="Q136" t="str">
            <v>Non-Prime</v>
          </cell>
          <cell r="R136" t="str">
            <v>Non-Prime</v>
          </cell>
          <cell r="S136" t="str">
            <v>Non-Prime</v>
          </cell>
          <cell r="T136" t="str">
            <v>Prime</v>
          </cell>
          <cell r="U136" t="str">
            <v>Prime</v>
          </cell>
          <cell r="V136" t="str">
            <v>Prime</v>
          </cell>
          <cell r="W136" t="str">
            <v>Prime</v>
          </cell>
          <cell r="X136" t="str">
            <v>Prime</v>
          </cell>
          <cell r="Y136" t="str">
            <v>Prime</v>
          </cell>
          <cell r="Z136" t="str">
            <v>Non-Prime</v>
          </cell>
          <cell r="AA136" t="str">
            <v>Non-Prime</v>
          </cell>
          <cell r="AB136" t="str">
            <v>Non-Prime</v>
          </cell>
          <cell r="AC136" t="str">
            <v>Non-Prime</v>
          </cell>
          <cell r="AD136" t="str">
            <v>Non-Prime</v>
          </cell>
          <cell r="AE136" t="str">
            <v>Non-Prime</v>
          </cell>
          <cell r="AF136" t="str">
            <v>Non-Prime</v>
          </cell>
        </row>
        <row r="137">
          <cell r="A137" t="str">
            <v>Mexico</v>
          </cell>
          <cell r="B137" t="str">
            <v>Non-Prime</v>
          </cell>
          <cell r="C137" t="str">
            <v>Non-Prime</v>
          </cell>
          <cell r="D137" t="str">
            <v>Non-Prime</v>
          </cell>
          <cell r="E137" t="str">
            <v>Non-Prime</v>
          </cell>
          <cell r="F137" t="str">
            <v>Non-Prime</v>
          </cell>
          <cell r="G137" t="str">
            <v>Non-Prime</v>
          </cell>
          <cell r="H137" t="str">
            <v>Non-Prime</v>
          </cell>
          <cell r="I137" t="str">
            <v>Non-Prime</v>
          </cell>
          <cell r="J137" t="str">
            <v>Non-Prime</v>
          </cell>
          <cell r="K137" t="str">
            <v>Non-Prime</v>
          </cell>
          <cell r="L137" t="str">
            <v>Non-Prime</v>
          </cell>
          <cell r="M137" t="str">
            <v>Non-Prime</v>
          </cell>
          <cell r="N137" t="str">
            <v>Non-Prime</v>
          </cell>
          <cell r="O137" t="str">
            <v>Non-Prime</v>
          </cell>
          <cell r="P137" t="str">
            <v>Non-Prime</v>
          </cell>
          <cell r="Q137" t="str">
            <v>Non-Prime</v>
          </cell>
          <cell r="R137" t="str">
            <v>Non-Prime</v>
          </cell>
          <cell r="S137" t="str">
            <v>Non-Prime</v>
          </cell>
          <cell r="T137" t="str">
            <v>Prime</v>
          </cell>
          <cell r="U137" t="str">
            <v>Prime</v>
          </cell>
          <cell r="V137" t="str">
            <v>Prime</v>
          </cell>
          <cell r="W137" t="str">
            <v>Prime</v>
          </cell>
          <cell r="X137" t="str">
            <v>Prime</v>
          </cell>
          <cell r="Y137" t="str">
            <v>Prime</v>
          </cell>
          <cell r="Z137" t="str">
            <v>Non-Prime</v>
          </cell>
          <cell r="AA137" t="str">
            <v>Non-Prime</v>
          </cell>
          <cell r="AB137" t="str">
            <v>Non-Prime</v>
          </cell>
          <cell r="AC137" t="str">
            <v>Non-Prime</v>
          </cell>
          <cell r="AD137" t="str">
            <v>Non-Prime</v>
          </cell>
          <cell r="AE137" t="str">
            <v>Non-Prime</v>
          </cell>
          <cell r="AF137" t="str">
            <v>Non-Prime</v>
          </cell>
        </row>
        <row r="138">
          <cell r="A138" t="str">
            <v>Micronesia</v>
          </cell>
          <cell r="B138" t="str">
            <v>Non-Prime</v>
          </cell>
          <cell r="C138" t="str">
            <v>Non-Prime</v>
          </cell>
          <cell r="D138" t="str">
            <v>Non-Prime</v>
          </cell>
          <cell r="E138" t="str">
            <v>Non-Prime</v>
          </cell>
          <cell r="F138" t="str">
            <v>Non-Prime</v>
          </cell>
          <cell r="G138" t="str">
            <v>Non-Prime</v>
          </cell>
          <cell r="H138" t="str">
            <v>Non-Prime</v>
          </cell>
          <cell r="I138" t="str">
            <v>Non-Prime</v>
          </cell>
          <cell r="J138" t="str">
            <v>Non-Prime</v>
          </cell>
          <cell r="K138" t="str">
            <v>Non-Prime</v>
          </cell>
          <cell r="L138" t="str">
            <v>Non-Prime</v>
          </cell>
          <cell r="M138" t="str">
            <v>Non-Prime</v>
          </cell>
          <cell r="N138" t="str">
            <v>Non-Prime</v>
          </cell>
          <cell r="O138" t="str">
            <v>Non-Prime</v>
          </cell>
          <cell r="P138" t="str">
            <v>Non-Prime</v>
          </cell>
          <cell r="Q138" t="str">
            <v>Non-Prime</v>
          </cell>
          <cell r="R138" t="str">
            <v>Non-Prime</v>
          </cell>
          <cell r="S138" t="str">
            <v>Non-Prime</v>
          </cell>
          <cell r="T138" t="str">
            <v>Prime</v>
          </cell>
          <cell r="U138" t="str">
            <v>Prime</v>
          </cell>
          <cell r="V138" t="str">
            <v>Prime</v>
          </cell>
          <cell r="W138" t="str">
            <v>Prime</v>
          </cell>
          <cell r="X138" t="str">
            <v>Prime</v>
          </cell>
          <cell r="Y138" t="str">
            <v>Prime</v>
          </cell>
          <cell r="Z138" t="str">
            <v>Non-Prime</v>
          </cell>
          <cell r="AA138" t="str">
            <v>Non-Prime</v>
          </cell>
          <cell r="AB138" t="str">
            <v>Non-Prime</v>
          </cell>
          <cell r="AC138" t="str">
            <v>Non-Prime</v>
          </cell>
          <cell r="AD138" t="str">
            <v>Non-Prime</v>
          </cell>
          <cell r="AE138" t="str">
            <v>Non-Prime</v>
          </cell>
          <cell r="AF138" t="str">
            <v>Non-Prime</v>
          </cell>
        </row>
        <row r="139">
          <cell r="A139" t="str">
            <v>Middle East</v>
          </cell>
          <cell r="B139" t="str">
            <v>Non-Prime</v>
          </cell>
          <cell r="C139" t="str">
            <v>Non-Prime</v>
          </cell>
          <cell r="D139" t="str">
            <v>Non-Prime</v>
          </cell>
          <cell r="E139" t="str">
            <v>Non-Prime</v>
          </cell>
          <cell r="F139" t="str">
            <v>Non-Prime</v>
          </cell>
          <cell r="G139" t="str">
            <v>Non-Prime</v>
          </cell>
          <cell r="H139" t="str">
            <v>Non-Prime</v>
          </cell>
          <cell r="I139" t="str">
            <v>Non-Prime</v>
          </cell>
          <cell r="J139" t="str">
            <v>Non-Prime</v>
          </cell>
          <cell r="K139" t="str">
            <v>Non-Prime</v>
          </cell>
          <cell r="L139" t="str">
            <v>Non-Prime</v>
          </cell>
          <cell r="M139" t="str">
            <v>Non-Prime</v>
          </cell>
          <cell r="N139" t="str">
            <v>Non-Prime</v>
          </cell>
          <cell r="O139" t="str">
            <v>Non-Prime</v>
          </cell>
          <cell r="P139" t="str">
            <v>Non-Prime</v>
          </cell>
          <cell r="Q139" t="str">
            <v>Non-Prime</v>
          </cell>
          <cell r="R139" t="str">
            <v>Non-Prime</v>
          </cell>
          <cell r="S139" t="str">
            <v>Non-Prime</v>
          </cell>
          <cell r="T139" t="str">
            <v>Prime</v>
          </cell>
          <cell r="U139" t="str">
            <v>Prime</v>
          </cell>
          <cell r="V139" t="str">
            <v>Prime</v>
          </cell>
          <cell r="W139" t="str">
            <v>Prime</v>
          </cell>
          <cell r="X139" t="str">
            <v>Prime</v>
          </cell>
          <cell r="Y139" t="str">
            <v>Prime</v>
          </cell>
          <cell r="Z139" t="str">
            <v>Non-Prime</v>
          </cell>
          <cell r="AA139" t="str">
            <v>Non-Prime</v>
          </cell>
          <cell r="AB139" t="str">
            <v>Non-Prime</v>
          </cell>
          <cell r="AC139" t="str">
            <v>Non-Prime</v>
          </cell>
          <cell r="AD139" t="str">
            <v>Non-Prime</v>
          </cell>
          <cell r="AE139" t="str">
            <v>Non-Prime</v>
          </cell>
          <cell r="AF139" t="str">
            <v>Non-Prime</v>
          </cell>
        </row>
        <row r="140">
          <cell r="A140" t="str">
            <v>Moldova</v>
          </cell>
          <cell r="B140" t="str">
            <v>Non-Prime</v>
          </cell>
          <cell r="C140" t="str">
            <v>Non-Prime</v>
          </cell>
          <cell r="D140" t="str">
            <v>Non-Prime</v>
          </cell>
          <cell r="E140" t="str">
            <v>Non-Prime</v>
          </cell>
          <cell r="F140" t="str">
            <v>Non-Prime</v>
          </cell>
          <cell r="G140" t="str">
            <v>Non-Prime</v>
          </cell>
          <cell r="H140" t="str">
            <v>Non-Prime</v>
          </cell>
          <cell r="I140" t="str">
            <v>Non-Prime</v>
          </cell>
          <cell r="J140" t="str">
            <v>Non-Prime</v>
          </cell>
          <cell r="K140" t="str">
            <v>Non-Prime</v>
          </cell>
          <cell r="L140" t="str">
            <v>Non-Prime</v>
          </cell>
          <cell r="M140" t="str">
            <v>Non-Prime</v>
          </cell>
          <cell r="N140" t="str">
            <v>Non-Prime</v>
          </cell>
          <cell r="O140" t="str">
            <v>Non-Prime</v>
          </cell>
          <cell r="P140" t="str">
            <v>Non-Prime</v>
          </cell>
          <cell r="Q140" t="str">
            <v>Non-Prime</v>
          </cell>
          <cell r="R140" t="str">
            <v>Non-Prime</v>
          </cell>
          <cell r="S140" t="str">
            <v>Non-Prime</v>
          </cell>
          <cell r="T140" t="str">
            <v>Prime</v>
          </cell>
          <cell r="U140" t="str">
            <v>Prime</v>
          </cell>
          <cell r="V140" t="str">
            <v>Prime</v>
          </cell>
          <cell r="W140" t="str">
            <v>Prime</v>
          </cell>
          <cell r="X140" t="str">
            <v>Prime</v>
          </cell>
          <cell r="Y140" t="str">
            <v>Prime</v>
          </cell>
          <cell r="Z140" t="str">
            <v>Non-Prime</v>
          </cell>
          <cell r="AA140" t="str">
            <v>Non-Prime</v>
          </cell>
          <cell r="AB140" t="str">
            <v>Non-Prime</v>
          </cell>
          <cell r="AC140" t="str">
            <v>Non-Prime</v>
          </cell>
          <cell r="AD140" t="str">
            <v>Non-Prime</v>
          </cell>
          <cell r="AE140" t="str">
            <v>Non-Prime</v>
          </cell>
          <cell r="AF140" t="str">
            <v>Non-Prime</v>
          </cell>
        </row>
        <row r="141">
          <cell r="A141" t="str">
            <v>Monaco</v>
          </cell>
          <cell r="B141" t="str">
            <v>Non-Prime</v>
          </cell>
          <cell r="C141" t="str">
            <v>Non-Prime</v>
          </cell>
          <cell r="D141" t="str">
            <v>Non-Prime</v>
          </cell>
          <cell r="E141" t="str">
            <v>Non-Prime</v>
          </cell>
          <cell r="F141" t="str">
            <v>Non-Prime</v>
          </cell>
          <cell r="G141" t="str">
            <v>Non-Prime</v>
          </cell>
          <cell r="H141" t="str">
            <v>Non-Prime</v>
          </cell>
          <cell r="I141" t="str">
            <v>Non-Prime</v>
          </cell>
          <cell r="J141" t="str">
            <v>Non-Prime</v>
          </cell>
          <cell r="K141" t="str">
            <v>Non-Prime</v>
          </cell>
          <cell r="L141" t="str">
            <v>Non-Prime</v>
          </cell>
          <cell r="M141" t="str">
            <v>Non-Prime</v>
          </cell>
          <cell r="N141" t="str">
            <v>Non-Prime</v>
          </cell>
          <cell r="O141" t="str">
            <v>Non-Prime</v>
          </cell>
          <cell r="P141" t="str">
            <v>Non-Prime</v>
          </cell>
          <cell r="Q141" t="str">
            <v>Non-Prime</v>
          </cell>
          <cell r="R141" t="str">
            <v>Non-Prime</v>
          </cell>
          <cell r="S141" t="str">
            <v>Non-Prime</v>
          </cell>
          <cell r="T141" t="str">
            <v>Non-Prime</v>
          </cell>
          <cell r="U141" t="str">
            <v>Prime</v>
          </cell>
          <cell r="V141" t="str">
            <v>Prime</v>
          </cell>
          <cell r="W141" t="str">
            <v>Prime</v>
          </cell>
          <cell r="X141" t="str">
            <v>Prime</v>
          </cell>
          <cell r="Y141" t="str">
            <v>Non-Prime</v>
          </cell>
          <cell r="Z141" t="str">
            <v>Non-Prime</v>
          </cell>
          <cell r="AA141" t="str">
            <v>Non-Prime</v>
          </cell>
          <cell r="AB141" t="str">
            <v>Non-Prime</v>
          </cell>
          <cell r="AC141" t="str">
            <v>Non-Prime</v>
          </cell>
          <cell r="AD141" t="str">
            <v>Non-Prime</v>
          </cell>
          <cell r="AE141" t="str">
            <v>Non-Prime</v>
          </cell>
          <cell r="AF141" t="str">
            <v>Non-Prime</v>
          </cell>
        </row>
        <row r="142">
          <cell r="A142" t="str">
            <v>Mongolia</v>
          </cell>
          <cell r="B142" t="str">
            <v>Non-Prime</v>
          </cell>
          <cell r="C142" t="str">
            <v>Non-Prime</v>
          </cell>
          <cell r="D142" t="str">
            <v>Non-Prime</v>
          </cell>
          <cell r="E142" t="str">
            <v>Non-Prime</v>
          </cell>
          <cell r="F142" t="str">
            <v>Non-Prime</v>
          </cell>
          <cell r="G142" t="str">
            <v>Non-Prime</v>
          </cell>
          <cell r="H142" t="str">
            <v>Non-Prime</v>
          </cell>
          <cell r="I142" t="str">
            <v>Non-Prime</v>
          </cell>
          <cell r="J142" t="str">
            <v>Non-Prime</v>
          </cell>
          <cell r="K142" t="str">
            <v>Non-Prime</v>
          </cell>
          <cell r="L142" t="str">
            <v>Non-Prime</v>
          </cell>
          <cell r="M142" t="str">
            <v>Non-Prime</v>
          </cell>
          <cell r="N142" t="str">
            <v>Non-Prime</v>
          </cell>
          <cell r="O142" t="str">
            <v>Non-Prime</v>
          </cell>
          <cell r="P142" t="str">
            <v>Non-Prime</v>
          </cell>
          <cell r="Q142" t="str">
            <v>Non-Prime</v>
          </cell>
          <cell r="R142" t="str">
            <v>Non-Prime</v>
          </cell>
          <cell r="S142" t="str">
            <v>Non-Prime</v>
          </cell>
          <cell r="T142" t="str">
            <v>Non-Prime</v>
          </cell>
          <cell r="U142" t="str">
            <v>Prime</v>
          </cell>
          <cell r="V142" t="str">
            <v>Prime</v>
          </cell>
          <cell r="W142" t="str">
            <v>Prime</v>
          </cell>
          <cell r="X142" t="str">
            <v>Non-Prime</v>
          </cell>
          <cell r="Y142" t="str">
            <v>Non-Prime</v>
          </cell>
          <cell r="Z142" t="str">
            <v>Non-Prime</v>
          </cell>
          <cell r="AA142" t="str">
            <v>Non-Prime</v>
          </cell>
          <cell r="AB142" t="str">
            <v>Non-Prime</v>
          </cell>
          <cell r="AC142" t="str">
            <v>Non-Prime</v>
          </cell>
          <cell r="AD142" t="str">
            <v>Non-Prime</v>
          </cell>
          <cell r="AE142" t="str">
            <v>Non-Prime</v>
          </cell>
          <cell r="AF142" t="str">
            <v>Non-Prime</v>
          </cell>
        </row>
        <row r="143">
          <cell r="A143" t="str">
            <v>Montenegro</v>
          </cell>
          <cell r="B143" t="str">
            <v>Non-Prime</v>
          </cell>
          <cell r="C143" t="str">
            <v>Non-Prime</v>
          </cell>
          <cell r="D143" t="str">
            <v>Non-Prime</v>
          </cell>
          <cell r="E143" t="str">
            <v>Non-Prime</v>
          </cell>
          <cell r="F143" t="str">
            <v>Non-Prime</v>
          </cell>
          <cell r="G143" t="str">
            <v>Non-Prime</v>
          </cell>
          <cell r="H143" t="str">
            <v>Non-Prime</v>
          </cell>
          <cell r="I143" t="str">
            <v>Non-Prime</v>
          </cell>
          <cell r="J143" t="str">
            <v>Non-Prime</v>
          </cell>
          <cell r="K143" t="str">
            <v>Non-Prime</v>
          </cell>
          <cell r="L143" t="str">
            <v>Non-Prime</v>
          </cell>
          <cell r="M143" t="str">
            <v>Non-Prime</v>
          </cell>
          <cell r="N143" t="str">
            <v>Non-Prime</v>
          </cell>
          <cell r="O143" t="str">
            <v>Non-Prime</v>
          </cell>
          <cell r="P143" t="str">
            <v>Non-Prime</v>
          </cell>
          <cell r="Q143" t="str">
            <v>Non-Prime</v>
          </cell>
          <cell r="R143" t="str">
            <v>Non-Prime</v>
          </cell>
          <cell r="S143" t="str">
            <v>Non-Prime</v>
          </cell>
          <cell r="T143" t="str">
            <v>Non-Prime</v>
          </cell>
          <cell r="U143" t="str">
            <v>Prime</v>
          </cell>
          <cell r="V143" t="str">
            <v>Prime</v>
          </cell>
          <cell r="W143" t="str">
            <v>Prime</v>
          </cell>
          <cell r="X143" t="str">
            <v>Prime</v>
          </cell>
          <cell r="Y143" t="str">
            <v>Non-Prime</v>
          </cell>
          <cell r="Z143" t="str">
            <v>Non-Prime</v>
          </cell>
          <cell r="AA143" t="str">
            <v>Non-Prime</v>
          </cell>
          <cell r="AB143" t="str">
            <v>Non-Prime</v>
          </cell>
          <cell r="AC143" t="str">
            <v>Non-Prime</v>
          </cell>
          <cell r="AD143" t="str">
            <v>Non-Prime</v>
          </cell>
          <cell r="AE143" t="str">
            <v>Non-Prime</v>
          </cell>
          <cell r="AF143" t="str">
            <v>Non-Prime</v>
          </cell>
        </row>
        <row r="144">
          <cell r="A144" t="str">
            <v>Montserrat</v>
          </cell>
          <cell r="B144" t="str">
            <v>Non-Prime</v>
          </cell>
          <cell r="C144" t="str">
            <v>Non-Prime</v>
          </cell>
          <cell r="D144" t="str">
            <v>Non-Prime</v>
          </cell>
          <cell r="E144" t="str">
            <v>Non-Prime</v>
          </cell>
          <cell r="F144" t="str">
            <v>Non-Prime</v>
          </cell>
          <cell r="G144" t="str">
            <v>Non-Prime</v>
          </cell>
          <cell r="H144" t="str">
            <v>Non-Prime</v>
          </cell>
          <cell r="I144" t="str">
            <v>Non-Prime</v>
          </cell>
          <cell r="J144" t="str">
            <v>Non-Prime</v>
          </cell>
          <cell r="K144" t="str">
            <v>Non-Prime</v>
          </cell>
          <cell r="L144" t="str">
            <v>Non-Prime</v>
          </cell>
          <cell r="M144" t="str">
            <v>Non-Prime</v>
          </cell>
          <cell r="N144" t="str">
            <v>Non-Prime</v>
          </cell>
          <cell r="O144" t="str">
            <v>Non-Prime</v>
          </cell>
          <cell r="P144" t="str">
            <v>Non-Prime</v>
          </cell>
          <cell r="Q144" t="str">
            <v>Non-Prime</v>
          </cell>
          <cell r="R144" t="str">
            <v>Non-Prime</v>
          </cell>
          <cell r="S144" t="str">
            <v>Non-Prime</v>
          </cell>
          <cell r="T144" t="str">
            <v>Non-Prime</v>
          </cell>
          <cell r="U144" t="str">
            <v>Prime</v>
          </cell>
          <cell r="V144" t="str">
            <v>Prime</v>
          </cell>
          <cell r="W144" t="str">
            <v>Prime</v>
          </cell>
          <cell r="X144" t="str">
            <v>Prime</v>
          </cell>
          <cell r="Y144" t="str">
            <v>Non-Prime</v>
          </cell>
          <cell r="Z144" t="str">
            <v>Non-Prime</v>
          </cell>
          <cell r="AA144" t="str">
            <v>Non-Prime</v>
          </cell>
          <cell r="AB144" t="str">
            <v>Non-Prime</v>
          </cell>
          <cell r="AC144" t="str">
            <v>Non-Prime</v>
          </cell>
          <cell r="AD144" t="str">
            <v>Non-Prime</v>
          </cell>
          <cell r="AE144" t="str">
            <v>Non-Prime</v>
          </cell>
          <cell r="AF144" t="str">
            <v>Non-Prime</v>
          </cell>
        </row>
        <row r="145">
          <cell r="A145" t="str">
            <v>Morocco</v>
          </cell>
          <cell r="B145" t="str">
            <v>Non-Prime</v>
          </cell>
          <cell r="C145" t="str">
            <v>Non-Prime</v>
          </cell>
          <cell r="D145" t="str">
            <v>Non-Prime</v>
          </cell>
          <cell r="E145" t="str">
            <v>Non-Prime</v>
          </cell>
          <cell r="F145" t="str">
            <v>Non-Prime</v>
          </cell>
          <cell r="G145" t="str">
            <v>Non-Prime</v>
          </cell>
          <cell r="H145" t="str">
            <v>Non-Prime</v>
          </cell>
          <cell r="I145" t="str">
            <v>Non-Prime</v>
          </cell>
          <cell r="J145" t="str">
            <v>Non-Prime</v>
          </cell>
          <cell r="K145" t="str">
            <v>Non-Prime</v>
          </cell>
          <cell r="L145" t="str">
            <v>Non-Prime</v>
          </cell>
          <cell r="M145" t="str">
            <v>Non-Prime</v>
          </cell>
          <cell r="N145" t="str">
            <v>Non-Prime</v>
          </cell>
          <cell r="O145" t="str">
            <v>Non-Prime</v>
          </cell>
          <cell r="P145" t="str">
            <v>Non-Prime</v>
          </cell>
          <cell r="Q145" t="str">
            <v>Non-Prime</v>
          </cell>
          <cell r="R145" t="str">
            <v>Non-Prime</v>
          </cell>
          <cell r="S145" t="str">
            <v>Non-Prime</v>
          </cell>
          <cell r="T145" t="str">
            <v>Prime</v>
          </cell>
          <cell r="U145" t="str">
            <v>Prime</v>
          </cell>
          <cell r="V145" t="str">
            <v>Prime</v>
          </cell>
          <cell r="W145" t="str">
            <v>Prime</v>
          </cell>
          <cell r="X145" t="str">
            <v>Prime</v>
          </cell>
          <cell r="Y145" t="str">
            <v>Prime</v>
          </cell>
          <cell r="Z145" t="str">
            <v>Non-Prime</v>
          </cell>
          <cell r="AA145" t="str">
            <v>Non-Prime</v>
          </cell>
          <cell r="AB145" t="str">
            <v>Non-Prime</v>
          </cell>
          <cell r="AC145" t="str">
            <v>Non-Prime</v>
          </cell>
          <cell r="AD145" t="str">
            <v>Non-Prime</v>
          </cell>
          <cell r="AE145" t="str">
            <v>Non-Prime</v>
          </cell>
          <cell r="AF145" t="str">
            <v>Non-Prime</v>
          </cell>
        </row>
        <row r="146">
          <cell r="A146" t="str">
            <v>Mozambique</v>
          </cell>
          <cell r="B146" t="str">
            <v>Non-Prime</v>
          </cell>
          <cell r="C146" t="str">
            <v>Non-Prime</v>
          </cell>
          <cell r="D146" t="str">
            <v>Non-Prime</v>
          </cell>
          <cell r="E146" t="str">
            <v>Non-Prime</v>
          </cell>
          <cell r="F146" t="str">
            <v>Non-Prime</v>
          </cell>
          <cell r="G146" t="str">
            <v>Non-Prime</v>
          </cell>
          <cell r="H146" t="str">
            <v>Non-Prime</v>
          </cell>
          <cell r="I146" t="str">
            <v>Non-Prime</v>
          </cell>
          <cell r="J146" t="str">
            <v>Non-Prime</v>
          </cell>
          <cell r="K146" t="str">
            <v>Non-Prime</v>
          </cell>
          <cell r="L146" t="str">
            <v>Non-Prime</v>
          </cell>
          <cell r="M146" t="str">
            <v>Non-Prime</v>
          </cell>
          <cell r="N146" t="str">
            <v>Non-Prime</v>
          </cell>
          <cell r="O146" t="str">
            <v>Non-Prime</v>
          </cell>
          <cell r="P146" t="str">
            <v>Non-Prime</v>
          </cell>
          <cell r="Q146" t="str">
            <v>Non-Prime</v>
          </cell>
          <cell r="R146" t="str">
            <v>Non-Prime</v>
          </cell>
          <cell r="S146" t="str">
            <v>Non-Prime</v>
          </cell>
          <cell r="T146" t="str">
            <v>Prime</v>
          </cell>
          <cell r="U146" t="str">
            <v>Prime</v>
          </cell>
          <cell r="V146" t="str">
            <v>Prime</v>
          </cell>
          <cell r="W146" t="str">
            <v>Prime</v>
          </cell>
          <cell r="X146" t="str">
            <v>Prime</v>
          </cell>
          <cell r="Y146" t="str">
            <v>Prime</v>
          </cell>
          <cell r="Z146" t="str">
            <v>Non-Prime</v>
          </cell>
          <cell r="AA146" t="str">
            <v>Non-Prime</v>
          </cell>
          <cell r="AB146" t="str">
            <v>Non-Prime</v>
          </cell>
          <cell r="AC146" t="str">
            <v>Non-Prime</v>
          </cell>
          <cell r="AD146" t="str">
            <v>Non-Prime</v>
          </cell>
          <cell r="AE146" t="str">
            <v>Non-Prime</v>
          </cell>
          <cell r="AF146" t="str">
            <v>Non-Prime</v>
          </cell>
        </row>
        <row r="147">
          <cell r="A147" t="str">
            <v>Myanmar</v>
          </cell>
          <cell r="B147" t="str">
            <v>Non-Prime</v>
          </cell>
          <cell r="C147" t="str">
            <v>Non-Prime</v>
          </cell>
          <cell r="D147" t="str">
            <v>Non-Prime</v>
          </cell>
          <cell r="E147" t="str">
            <v>Non-Prime</v>
          </cell>
          <cell r="F147" t="str">
            <v>Non-Prime</v>
          </cell>
          <cell r="G147" t="str">
            <v>Non-Prime</v>
          </cell>
          <cell r="H147" t="str">
            <v>Non-Prime</v>
          </cell>
          <cell r="I147" t="str">
            <v>Non-Prime</v>
          </cell>
          <cell r="J147" t="str">
            <v>Non-Prime</v>
          </cell>
          <cell r="K147" t="str">
            <v>Non-Prime</v>
          </cell>
          <cell r="L147" t="str">
            <v>Non-Prime</v>
          </cell>
          <cell r="M147" t="str">
            <v>Non-Prime</v>
          </cell>
          <cell r="N147" t="str">
            <v>Non-Prime</v>
          </cell>
          <cell r="O147" t="str">
            <v>Non-Prime</v>
          </cell>
          <cell r="P147" t="str">
            <v>Non-Prime</v>
          </cell>
          <cell r="Q147" t="str">
            <v>Non-Prime</v>
          </cell>
          <cell r="R147" t="str">
            <v>Non-Prime</v>
          </cell>
          <cell r="S147" t="str">
            <v>Non-Prime</v>
          </cell>
          <cell r="T147" t="str">
            <v>Prime</v>
          </cell>
          <cell r="U147" t="str">
            <v>Prime</v>
          </cell>
          <cell r="V147" t="str">
            <v>Prime</v>
          </cell>
          <cell r="W147" t="str">
            <v>Prime</v>
          </cell>
          <cell r="X147" t="str">
            <v>Prime</v>
          </cell>
          <cell r="Y147" t="str">
            <v>Prime</v>
          </cell>
          <cell r="Z147" t="str">
            <v>Non-Prime</v>
          </cell>
          <cell r="AA147" t="str">
            <v>Non-Prime</v>
          </cell>
          <cell r="AB147" t="str">
            <v>Non-Prime</v>
          </cell>
          <cell r="AC147" t="str">
            <v>Non-Prime</v>
          </cell>
          <cell r="AD147" t="str">
            <v>Non-Prime</v>
          </cell>
          <cell r="AE147" t="str">
            <v>Non-Prime</v>
          </cell>
          <cell r="AF147" t="str">
            <v>Non-Prime</v>
          </cell>
        </row>
        <row r="148">
          <cell r="A148" t="str">
            <v>Namibia</v>
          </cell>
          <cell r="B148" t="str">
            <v>Non-Prime</v>
          </cell>
          <cell r="C148" t="str">
            <v>Non-Prime</v>
          </cell>
          <cell r="D148" t="str">
            <v>Non-Prime</v>
          </cell>
          <cell r="E148" t="str">
            <v>Non-Prime</v>
          </cell>
          <cell r="F148" t="str">
            <v>Non-Prime</v>
          </cell>
          <cell r="G148" t="str">
            <v>Non-Prime</v>
          </cell>
          <cell r="H148" t="str">
            <v>Non-Prime</v>
          </cell>
          <cell r="I148" t="str">
            <v>Non-Prime</v>
          </cell>
          <cell r="J148" t="str">
            <v>Non-Prime</v>
          </cell>
          <cell r="K148" t="str">
            <v>Non-Prime</v>
          </cell>
          <cell r="L148" t="str">
            <v>Non-Prime</v>
          </cell>
          <cell r="M148" t="str">
            <v>Non-Prime</v>
          </cell>
          <cell r="N148" t="str">
            <v>Non-Prime</v>
          </cell>
          <cell r="O148" t="str">
            <v>Non-Prime</v>
          </cell>
          <cell r="P148" t="str">
            <v>Non-Prime</v>
          </cell>
          <cell r="Q148" t="str">
            <v>Non-Prime</v>
          </cell>
          <cell r="R148" t="str">
            <v>Non-Prime</v>
          </cell>
          <cell r="S148" t="str">
            <v>Non-Prime</v>
          </cell>
          <cell r="T148" t="str">
            <v>Prime</v>
          </cell>
          <cell r="U148" t="str">
            <v>Prime</v>
          </cell>
          <cell r="V148" t="str">
            <v>Prime</v>
          </cell>
          <cell r="W148" t="str">
            <v>Prime</v>
          </cell>
          <cell r="X148" t="str">
            <v>Prime</v>
          </cell>
          <cell r="Y148" t="str">
            <v>Prime</v>
          </cell>
          <cell r="Z148" t="str">
            <v>Non-Prime</v>
          </cell>
          <cell r="AA148" t="str">
            <v>Non-Prime</v>
          </cell>
          <cell r="AB148" t="str">
            <v>Non-Prime</v>
          </cell>
          <cell r="AC148" t="str">
            <v>Non-Prime</v>
          </cell>
          <cell r="AD148" t="str">
            <v>Non-Prime</v>
          </cell>
          <cell r="AE148" t="str">
            <v>Non-Prime</v>
          </cell>
          <cell r="AF148" t="str">
            <v>Non-Prime</v>
          </cell>
        </row>
        <row r="149">
          <cell r="A149" t="str">
            <v>Nauru</v>
          </cell>
          <cell r="B149" t="str">
            <v>Non-Prime</v>
          </cell>
          <cell r="C149" t="str">
            <v>Non-Prime</v>
          </cell>
          <cell r="D149" t="str">
            <v>Non-Prime</v>
          </cell>
          <cell r="E149" t="str">
            <v>Non-Prime</v>
          </cell>
          <cell r="F149" t="str">
            <v>Non-Prime</v>
          </cell>
          <cell r="G149" t="str">
            <v>Non-Prime</v>
          </cell>
          <cell r="H149" t="str">
            <v>Non-Prime</v>
          </cell>
          <cell r="I149" t="str">
            <v>Non-Prime</v>
          </cell>
          <cell r="J149" t="str">
            <v>Non-Prime</v>
          </cell>
          <cell r="K149" t="str">
            <v>Non-Prime</v>
          </cell>
          <cell r="L149" t="str">
            <v>Non-Prime</v>
          </cell>
          <cell r="M149" t="str">
            <v>Non-Prime</v>
          </cell>
          <cell r="N149" t="str">
            <v>Non-Prime</v>
          </cell>
          <cell r="O149" t="str">
            <v>Non-Prime</v>
          </cell>
          <cell r="P149" t="str">
            <v>Non-Prime</v>
          </cell>
          <cell r="Q149" t="str">
            <v>Non-Prime</v>
          </cell>
          <cell r="R149" t="str">
            <v>Non-Prime</v>
          </cell>
          <cell r="S149" t="str">
            <v>Non-Prime</v>
          </cell>
          <cell r="T149" t="str">
            <v>Prime</v>
          </cell>
          <cell r="U149" t="str">
            <v>Prime</v>
          </cell>
          <cell r="V149" t="str">
            <v>Prime</v>
          </cell>
          <cell r="W149" t="str">
            <v>Prime</v>
          </cell>
          <cell r="X149" t="str">
            <v>Prime</v>
          </cell>
          <cell r="Y149" t="str">
            <v>Prime</v>
          </cell>
          <cell r="Z149" t="str">
            <v>Non-Prime</v>
          </cell>
          <cell r="AA149" t="str">
            <v>Non-Prime</v>
          </cell>
          <cell r="AB149" t="str">
            <v>Non-Prime</v>
          </cell>
          <cell r="AC149" t="str">
            <v>Non-Prime</v>
          </cell>
          <cell r="AD149" t="str">
            <v>Non-Prime</v>
          </cell>
          <cell r="AE149" t="str">
            <v>Non-Prime</v>
          </cell>
          <cell r="AF149" t="str">
            <v>Non-Prime</v>
          </cell>
        </row>
        <row r="150">
          <cell r="A150" t="str">
            <v>Nepal</v>
          </cell>
          <cell r="B150" t="str">
            <v>Non-Prime</v>
          </cell>
          <cell r="C150" t="str">
            <v>Non-Prime</v>
          </cell>
          <cell r="D150" t="str">
            <v>Non-Prime</v>
          </cell>
          <cell r="E150" t="str">
            <v>Non-Prime</v>
          </cell>
          <cell r="F150" t="str">
            <v>Non-Prime</v>
          </cell>
          <cell r="G150" t="str">
            <v>Non-Prime</v>
          </cell>
          <cell r="H150" t="str">
            <v>Non-Prime</v>
          </cell>
          <cell r="I150" t="str">
            <v>Non-Prime</v>
          </cell>
          <cell r="J150" t="str">
            <v>Non-Prime</v>
          </cell>
          <cell r="K150" t="str">
            <v>Non-Prime</v>
          </cell>
          <cell r="L150" t="str">
            <v>Non-Prime</v>
          </cell>
          <cell r="M150" t="str">
            <v>Non-Prime</v>
          </cell>
          <cell r="N150" t="str">
            <v>Non-Prime</v>
          </cell>
          <cell r="O150" t="str">
            <v>Non-Prime</v>
          </cell>
          <cell r="P150" t="str">
            <v>Non-Prime</v>
          </cell>
          <cell r="Q150" t="str">
            <v>Non-Prime</v>
          </cell>
          <cell r="R150" t="str">
            <v>Non-Prime</v>
          </cell>
          <cell r="S150" t="str">
            <v>Non-Prime</v>
          </cell>
          <cell r="T150" t="str">
            <v>Non-Prime</v>
          </cell>
          <cell r="U150" t="str">
            <v>Prime</v>
          </cell>
          <cell r="V150" t="str">
            <v>Prime</v>
          </cell>
          <cell r="W150" t="str">
            <v>Prime</v>
          </cell>
          <cell r="X150" t="str">
            <v>Non-Prime</v>
          </cell>
          <cell r="Y150" t="str">
            <v>Non-Prime</v>
          </cell>
          <cell r="Z150" t="str">
            <v>Non-Prime</v>
          </cell>
          <cell r="AA150" t="str">
            <v>Non-Prime</v>
          </cell>
          <cell r="AB150" t="str">
            <v>Non-Prime</v>
          </cell>
          <cell r="AC150" t="str">
            <v>Non-Prime</v>
          </cell>
          <cell r="AD150" t="str">
            <v>Non-Prime</v>
          </cell>
          <cell r="AE150" t="str">
            <v>Non-Prime</v>
          </cell>
          <cell r="AF150" t="str">
            <v>Non-Prime</v>
          </cell>
        </row>
        <row r="151">
          <cell r="A151" t="str">
            <v>Netherlands</v>
          </cell>
          <cell r="B151" t="str">
            <v>Non-Prime</v>
          </cell>
          <cell r="C151" t="str">
            <v>Non-Prime</v>
          </cell>
          <cell r="D151" t="str">
            <v>Non-Prime</v>
          </cell>
          <cell r="E151" t="str">
            <v>Non-Prime</v>
          </cell>
          <cell r="F151" t="str">
            <v>Non-Prime</v>
          </cell>
          <cell r="G151" t="str">
            <v>Non-Prime</v>
          </cell>
          <cell r="H151" t="str">
            <v>Non-Prime</v>
          </cell>
          <cell r="I151" t="str">
            <v>Non-Prime</v>
          </cell>
          <cell r="J151" t="str">
            <v>Non-Prime</v>
          </cell>
          <cell r="K151" t="str">
            <v>Non-Prime</v>
          </cell>
          <cell r="L151" t="str">
            <v>Non-Prime</v>
          </cell>
          <cell r="M151" t="str">
            <v>Non-Prime</v>
          </cell>
          <cell r="N151" t="str">
            <v>Non-Prime</v>
          </cell>
          <cell r="O151" t="str">
            <v>Non-Prime</v>
          </cell>
          <cell r="P151" t="str">
            <v>Non-Prime</v>
          </cell>
          <cell r="Q151" t="str">
            <v>Non-Prime</v>
          </cell>
          <cell r="R151" t="str">
            <v>Non-Prime</v>
          </cell>
          <cell r="S151" t="str">
            <v>Non-Prime</v>
          </cell>
          <cell r="T151" t="str">
            <v>Non-Prime</v>
          </cell>
          <cell r="U151" t="str">
            <v>Non-Prime</v>
          </cell>
          <cell r="V151" t="str">
            <v>Prime</v>
          </cell>
          <cell r="W151" t="str">
            <v>Prime</v>
          </cell>
          <cell r="X151" t="str">
            <v>Prime</v>
          </cell>
          <cell r="Y151" t="str">
            <v>Non-Prime</v>
          </cell>
          <cell r="Z151" t="str">
            <v>Non-Prime</v>
          </cell>
          <cell r="AA151" t="str">
            <v>Non-Prime</v>
          </cell>
          <cell r="AB151" t="str">
            <v>Non-Prime</v>
          </cell>
          <cell r="AC151" t="str">
            <v>Non-Prime</v>
          </cell>
          <cell r="AD151" t="str">
            <v>Non-Prime</v>
          </cell>
          <cell r="AE151" t="str">
            <v>Non-Prime</v>
          </cell>
          <cell r="AF151" t="str">
            <v>Non-Prime</v>
          </cell>
        </row>
        <row r="152">
          <cell r="A152" t="str">
            <v>Netherlands Antilles</v>
          </cell>
          <cell r="B152" t="str">
            <v>Non-Prime</v>
          </cell>
          <cell r="C152" t="str">
            <v>Non-Prime</v>
          </cell>
          <cell r="D152" t="str">
            <v>Non-Prime</v>
          </cell>
          <cell r="E152" t="str">
            <v>Non-Prime</v>
          </cell>
          <cell r="F152" t="str">
            <v>Non-Prime</v>
          </cell>
          <cell r="G152" t="str">
            <v>Non-Prime</v>
          </cell>
          <cell r="H152" t="str">
            <v>Non-Prime</v>
          </cell>
          <cell r="I152" t="str">
            <v>Non-Prime</v>
          </cell>
          <cell r="J152" t="str">
            <v>Non-Prime</v>
          </cell>
          <cell r="K152" t="str">
            <v>Non-Prime</v>
          </cell>
          <cell r="L152" t="str">
            <v>Non-Prime</v>
          </cell>
          <cell r="M152" t="str">
            <v>Non-Prime</v>
          </cell>
          <cell r="N152" t="str">
            <v>Non-Prime</v>
          </cell>
          <cell r="O152" t="str">
            <v>Non-Prime</v>
          </cell>
          <cell r="P152" t="str">
            <v>Non-Prime</v>
          </cell>
          <cell r="Q152" t="str">
            <v>Non-Prime</v>
          </cell>
          <cell r="R152" t="str">
            <v>Non-Prime</v>
          </cell>
          <cell r="S152" t="str">
            <v>Non-Prime</v>
          </cell>
          <cell r="T152" t="str">
            <v>Non-Prime</v>
          </cell>
          <cell r="U152" t="str">
            <v>Non-Prime</v>
          </cell>
          <cell r="V152" t="str">
            <v>Prime</v>
          </cell>
          <cell r="W152" t="str">
            <v>Prime</v>
          </cell>
          <cell r="X152" t="str">
            <v>Prime</v>
          </cell>
          <cell r="Y152" t="str">
            <v>Non-Prime</v>
          </cell>
          <cell r="Z152" t="str">
            <v>Non-Prime</v>
          </cell>
          <cell r="AA152" t="str">
            <v>Non-Prime</v>
          </cell>
          <cell r="AB152" t="str">
            <v>Non-Prime</v>
          </cell>
          <cell r="AC152" t="str">
            <v>Non-Prime</v>
          </cell>
          <cell r="AD152" t="str">
            <v>Non-Prime</v>
          </cell>
          <cell r="AE152" t="str">
            <v>Non-Prime</v>
          </cell>
          <cell r="AF152" t="str">
            <v>Non-Prime</v>
          </cell>
        </row>
        <row r="153">
          <cell r="A153" t="str">
            <v>New Caledonia</v>
          </cell>
          <cell r="B153" t="str">
            <v>Non-Prime</v>
          </cell>
          <cell r="C153" t="str">
            <v>Non-Prime</v>
          </cell>
          <cell r="D153" t="str">
            <v>Non-Prime</v>
          </cell>
          <cell r="E153" t="str">
            <v>Non-Prime</v>
          </cell>
          <cell r="F153" t="str">
            <v>Non-Prime</v>
          </cell>
          <cell r="G153" t="str">
            <v>Non-Prime</v>
          </cell>
          <cell r="H153" t="str">
            <v>Non-Prime</v>
          </cell>
          <cell r="I153" t="str">
            <v>Non-Prime</v>
          </cell>
          <cell r="J153" t="str">
            <v>Non-Prime</v>
          </cell>
          <cell r="K153" t="str">
            <v>Non-Prime</v>
          </cell>
          <cell r="L153" t="str">
            <v>Non-Prime</v>
          </cell>
          <cell r="M153" t="str">
            <v>Non-Prime</v>
          </cell>
          <cell r="N153" t="str">
            <v>Non-Prime</v>
          </cell>
          <cell r="O153" t="str">
            <v>Non-Prime</v>
          </cell>
          <cell r="P153" t="str">
            <v>Non-Prime</v>
          </cell>
          <cell r="Q153" t="str">
            <v>Non-Prime</v>
          </cell>
          <cell r="R153" t="str">
            <v>Non-Prime</v>
          </cell>
          <cell r="S153" t="str">
            <v>Non-Prime</v>
          </cell>
          <cell r="T153" t="str">
            <v>Prime</v>
          </cell>
          <cell r="U153" t="str">
            <v>Prime</v>
          </cell>
          <cell r="V153" t="str">
            <v>Prime</v>
          </cell>
          <cell r="W153" t="str">
            <v>Prime</v>
          </cell>
          <cell r="X153" t="str">
            <v>Prime</v>
          </cell>
          <cell r="Y153" t="str">
            <v>Prime</v>
          </cell>
          <cell r="Z153" t="str">
            <v>Non-Prime</v>
          </cell>
          <cell r="AA153" t="str">
            <v>Non-Prime</v>
          </cell>
          <cell r="AB153" t="str">
            <v>Non-Prime</v>
          </cell>
          <cell r="AC153" t="str">
            <v>Non-Prime</v>
          </cell>
          <cell r="AD153" t="str">
            <v>Non-Prime</v>
          </cell>
          <cell r="AE153" t="str">
            <v>Non-Prime</v>
          </cell>
          <cell r="AF153" t="str">
            <v>Non-Prime</v>
          </cell>
        </row>
        <row r="154">
          <cell r="A154" t="str">
            <v>New Zealand</v>
          </cell>
          <cell r="B154" t="str">
            <v>Non-Prime</v>
          </cell>
          <cell r="C154" t="str">
            <v>Non-Prime</v>
          </cell>
          <cell r="D154" t="str">
            <v>Non-Prime</v>
          </cell>
          <cell r="E154" t="str">
            <v>Non-Prime</v>
          </cell>
          <cell r="F154" t="str">
            <v>Non-Prime</v>
          </cell>
          <cell r="G154" t="str">
            <v>Non-Prime</v>
          </cell>
          <cell r="H154" t="str">
            <v>Non-Prime</v>
          </cell>
          <cell r="I154" t="str">
            <v>Non-Prime</v>
          </cell>
          <cell r="J154" t="str">
            <v>Non-Prime</v>
          </cell>
          <cell r="K154" t="str">
            <v>Non-Prime</v>
          </cell>
          <cell r="L154" t="str">
            <v>Non-Prime</v>
          </cell>
          <cell r="M154" t="str">
            <v>Non-Prime</v>
          </cell>
          <cell r="N154" t="str">
            <v>Non-Prime</v>
          </cell>
          <cell r="O154" t="str">
            <v>Non-Prime</v>
          </cell>
          <cell r="P154" t="str">
            <v>Non-Prime</v>
          </cell>
          <cell r="Q154" t="str">
            <v>Non-Prime</v>
          </cell>
          <cell r="R154" t="str">
            <v>Non-Prime</v>
          </cell>
          <cell r="S154" t="str">
            <v>Non-Prime</v>
          </cell>
          <cell r="T154" t="str">
            <v>Prime</v>
          </cell>
          <cell r="U154" t="str">
            <v>Prime</v>
          </cell>
          <cell r="V154" t="str">
            <v>Prime</v>
          </cell>
          <cell r="W154" t="str">
            <v>Prime</v>
          </cell>
          <cell r="X154" t="str">
            <v>Prime</v>
          </cell>
          <cell r="Y154" t="str">
            <v>Prime</v>
          </cell>
          <cell r="Z154" t="str">
            <v>Non-Prime</v>
          </cell>
          <cell r="AA154" t="str">
            <v>Non-Prime</v>
          </cell>
          <cell r="AB154" t="str">
            <v>Non-Prime</v>
          </cell>
          <cell r="AC154" t="str">
            <v>Non-Prime</v>
          </cell>
          <cell r="AD154" t="str">
            <v>Non-Prime</v>
          </cell>
          <cell r="AE154" t="str">
            <v>Non-Prime</v>
          </cell>
          <cell r="AF154" t="str">
            <v>Non-Prime</v>
          </cell>
        </row>
        <row r="155">
          <cell r="A155" t="str">
            <v>Nicaragua</v>
          </cell>
          <cell r="B155" t="str">
            <v>Non-Prime</v>
          </cell>
          <cell r="C155" t="str">
            <v>Non-Prime</v>
          </cell>
          <cell r="D155" t="str">
            <v>Non-Prime</v>
          </cell>
          <cell r="E155" t="str">
            <v>Non-Prime</v>
          </cell>
          <cell r="F155" t="str">
            <v>Non-Prime</v>
          </cell>
          <cell r="G155" t="str">
            <v>Non-Prime</v>
          </cell>
          <cell r="H155" t="str">
            <v>Non-Prime</v>
          </cell>
          <cell r="I155" t="str">
            <v>Non-Prime</v>
          </cell>
          <cell r="J155" t="str">
            <v>Non-Prime</v>
          </cell>
          <cell r="K155" t="str">
            <v>Non-Prime</v>
          </cell>
          <cell r="L155" t="str">
            <v>Non-Prime</v>
          </cell>
          <cell r="M155" t="str">
            <v>Non-Prime</v>
          </cell>
          <cell r="N155" t="str">
            <v>Non-Prime</v>
          </cell>
          <cell r="O155" t="str">
            <v>Non-Prime</v>
          </cell>
          <cell r="P155" t="str">
            <v>Non-Prime</v>
          </cell>
          <cell r="Q155" t="str">
            <v>Non-Prime</v>
          </cell>
          <cell r="R155" t="str">
            <v>Non-Prime</v>
          </cell>
          <cell r="S155" t="str">
            <v>Non-Prime</v>
          </cell>
          <cell r="T155" t="str">
            <v>Prime</v>
          </cell>
          <cell r="U155" t="str">
            <v>Prime</v>
          </cell>
          <cell r="V155" t="str">
            <v>Prime</v>
          </cell>
          <cell r="W155" t="str">
            <v>Prime</v>
          </cell>
          <cell r="X155" t="str">
            <v>Prime</v>
          </cell>
          <cell r="Y155" t="str">
            <v>Prime</v>
          </cell>
          <cell r="Z155" t="str">
            <v>Non-Prime</v>
          </cell>
          <cell r="AA155" t="str">
            <v>Non-Prime</v>
          </cell>
          <cell r="AB155" t="str">
            <v>Non-Prime</v>
          </cell>
          <cell r="AC155" t="str">
            <v>Non-Prime</v>
          </cell>
          <cell r="AD155" t="str">
            <v>Non-Prime</v>
          </cell>
          <cell r="AE155" t="str">
            <v>Non-Prime</v>
          </cell>
          <cell r="AF155" t="str">
            <v>Non-Prime</v>
          </cell>
        </row>
        <row r="156">
          <cell r="A156" t="str">
            <v>Niger</v>
          </cell>
          <cell r="B156" t="str">
            <v>Non-Prime</v>
          </cell>
          <cell r="C156" t="str">
            <v>Non-Prime</v>
          </cell>
          <cell r="D156" t="str">
            <v>Non-Prime</v>
          </cell>
          <cell r="E156" t="str">
            <v>Non-Prime</v>
          </cell>
          <cell r="F156" t="str">
            <v>Non-Prime</v>
          </cell>
          <cell r="G156" t="str">
            <v>Non-Prime</v>
          </cell>
          <cell r="H156" t="str">
            <v>Non-Prime</v>
          </cell>
          <cell r="I156" t="str">
            <v>Non-Prime</v>
          </cell>
          <cell r="J156" t="str">
            <v>Non-Prime</v>
          </cell>
          <cell r="K156" t="str">
            <v>Non-Prime</v>
          </cell>
          <cell r="L156" t="str">
            <v>Non-Prime</v>
          </cell>
          <cell r="M156" t="str">
            <v>Non-Prime</v>
          </cell>
          <cell r="N156" t="str">
            <v>Non-Prime</v>
          </cell>
          <cell r="O156" t="str">
            <v>Non-Prime</v>
          </cell>
          <cell r="P156" t="str">
            <v>Non-Prime</v>
          </cell>
          <cell r="Q156" t="str">
            <v>Non-Prime</v>
          </cell>
          <cell r="R156" t="str">
            <v>Non-Prime</v>
          </cell>
          <cell r="S156" t="str">
            <v>Non-Prime</v>
          </cell>
          <cell r="T156" t="str">
            <v>Prime</v>
          </cell>
          <cell r="U156" t="str">
            <v>Prime</v>
          </cell>
          <cell r="V156" t="str">
            <v>Prime</v>
          </cell>
          <cell r="W156" t="str">
            <v>Prime</v>
          </cell>
          <cell r="X156" t="str">
            <v>Prime</v>
          </cell>
          <cell r="Y156" t="str">
            <v>Prime</v>
          </cell>
          <cell r="Z156" t="str">
            <v>Non-Prime</v>
          </cell>
          <cell r="AA156" t="str">
            <v>Non-Prime</v>
          </cell>
          <cell r="AB156" t="str">
            <v>Non-Prime</v>
          </cell>
          <cell r="AC156" t="str">
            <v>Non-Prime</v>
          </cell>
          <cell r="AD156" t="str">
            <v>Non-Prime</v>
          </cell>
          <cell r="AE156" t="str">
            <v>Non-Prime</v>
          </cell>
          <cell r="AF156" t="str">
            <v>Non-Prime</v>
          </cell>
        </row>
        <row r="157">
          <cell r="A157" t="str">
            <v>Nigeria</v>
          </cell>
          <cell r="B157" t="str">
            <v>Non-Prime</v>
          </cell>
          <cell r="C157" t="str">
            <v>Non-Prime</v>
          </cell>
          <cell r="D157" t="str">
            <v>Non-Prime</v>
          </cell>
          <cell r="E157" t="str">
            <v>Non-Prime</v>
          </cell>
          <cell r="F157" t="str">
            <v>Non-Prime</v>
          </cell>
          <cell r="G157" t="str">
            <v>Non-Prime</v>
          </cell>
          <cell r="H157" t="str">
            <v>Non-Prime</v>
          </cell>
          <cell r="I157" t="str">
            <v>Non-Prime</v>
          </cell>
          <cell r="J157" t="str">
            <v>Non-Prime</v>
          </cell>
          <cell r="K157" t="str">
            <v>Non-Prime</v>
          </cell>
          <cell r="L157" t="str">
            <v>Non-Prime</v>
          </cell>
          <cell r="M157" t="str">
            <v>Non-Prime</v>
          </cell>
          <cell r="N157" t="str">
            <v>Non-Prime</v>
          </cell>
          <cell r="O157" t="str">
            <v>Non-Prime</v>
          </cell>
          <cell r="P157" t="str">
            <v>Non-Prime</v>
          </cell>
          <cell r="Q157" t="str">
            <v>Non-Prime</v>
          </cell>
          <cell r="R157" t="str">
            <v>Non-Prime</v>
          </cell>
          <cell r="S157" t="str">
            <v>Non-Prime</v>
          </cell>
          <cell r="T157" t="str">
            <v>Prime</v>
          </cell>
          <cell r="U157" t="str">
            <v>Prime</v>
          </cell>
          <cell r="V157" t="str">
            <v>Prime</v>
          </cell>
          <cell r="W157" t="str">
            <v>Prime</v>
          </cell>
          <cell r="X157" t="str">
            <v>Prime</v>
          </cell>
          <cell r="Y157" t="str">
            <v>Prime</v>
          </cell>
          <cell r="Z157" t="str">
            <v>Non-Prime</v>
          </cell>
          <cell r="AA157" t="str">
            <v>Non-Prime</v>
          </cell>
          <cell r="AB157" t="str">
            <v>Non-Prime</v>
          </cell>
          <cell r="AC157" t="str">
            <v>Non-Prime</v>
          </cell>
          <cell r="AD157" t="str">
            <v>Non-Prime</v>
          </cell>
          <cell r="AE157" t="str">
            <v>Non-Prime</v>
          </cell>
          <cell r="AF157" t="str">
            <v>Non-Prime</v>
          </cell>
        </row>
        <row r="158">
          <cell r="A158" t="str">
            <v>Niue</v>
          </cell>
          <cell r="B158" t="str">
            <v>Non-Prime</v>
          </cell>
          <cell r="C158" t="str">
            <v>Non-Prime</v>
          </cell>
          <cell r="D158" t="str">
            <v>Non-Prime</v>
          </cell>
          <cell r="E158" t="str">
            <v>Non-Prime</v>
          </cell>
          <cell r="F158" t="str">
            <v>Non-Prime</v>
          </cell>
          <cell r="G158" t="str">
            <v>Non-Prime</v>
          </cell>
          <cell r="H158" t="str">
            <v>Non-Prime</v>
          </cell>
          <cell r="I158" t="str">
            <v>Non-Prime</v>
          </cell>
          <cell r="J158" t="str">
            <v>Non-Prime</v>
          </cell>
          <cell r="K158" t="str">
            <v>Non-Prime</v>
          </cell>
          <cell r="L158" t="str">
            <v>Non-Prime</v>
          </cell>
          <cell r="M158" t="str">
            <v>Non-Prime</v>
          </cell>
          <cell r="N158" t="str">
            <v>Non-Prime</v>
          </cell>
          <cell r="O158" t="str">
            <v>Non-Prime</v>
          </cell>
          <cell r="P158" t="str">
            <v>Non-Prime</v>
          </cell>
          <cell r="Q158" t="str">
            <v>Non-Prime</v>
          </cell>
          <cell r="R158" t="str">
            <v>Non-Prime</v>
          </cell>
          <cell r="S158" t="str">
            <v>Non-Prime</v>
          </cell>
          <cell r="T158" t="str">
            <v>Prime</v>
          </cell>
          <cell r="U158" t="str">
            <v>Prime</v>
          </cell>
          <cell r="V158" t="str">
            <v>Prime</v>
          </cell>
          <cell r="W158" t="str">
            <v>Prime</v>
          </cell>
          <cell r="X158" t="str">
            <v>Prime</v>
          </cell>
          <cell r="Y158" t="str">
            <v>Prime</v>
          </cell>
          <cell r="Z158" t="str">
            <v>Non-Prime</v>
          </cell>
          <cell r="AA158" t="str">
            <v>Non-Prime</v>
          </cell>
          <cell r="AB158" t="str">
            <v>Non-Prime</v>
          </cell>
          <cell r="AC158" t="str">
            <v>Non-Prime</v>
          </cell>
          <cell r="AD158" t="str">
            <v>Non-Prime</v>
          </cell>
          <cell r="AE158" t="str">
            <v>Non-Prime</v>
          </cell>
          <cell r="AF158" t="str">
            <v>Non-Prime</v>
          </cell>
        </row>
        <row r="159">
          <cell r="A159" t="str">
            <v>Norfolk Island</v>
          </cell>
          <cell r="B159" t="str">
            <v>Non-Prime</v>
          </cell>
          <cell r="C159" t="str">
            <v>Non-Prime</v>
          </cell>
          <cell r="D159" t="str">
            <v>Non-Prime</v>
          </cell>
          <cell r="E159" t="str">
            <v>Non-Prime</v>
          </cell>
          <cell r="F159" t="str">
            <v>Non-Prime</v>
          </cell>
          <cell r="G159" t="str">
            <v>Non-Prime</v>
          </cell>
          <cell r="H159" t="str">
            <v>Non-Prime</v>
          </cell>
          <cell r="I159" t="str">
            <v>Non-Prime</v>
          </cell>
          <cell r="J159" t="str">
            <v>Non-Prime</v>
          </cell>
          <cell r="K159" t="str">
            <v>Non-Prime</v>
          </cell>
          <cell r="L159" t="str">
            <v>Non-Prime</v>
          </cell>
          <cell r="M159" t="str">
            <v>Non-Prime</v>
          </cell>
          <cell r="N159" t="str">
            <v>Non-Prime</v>
          </cell>
          <cell r="O159" t="str">
            <v>Non-Prime</v>
          </cell>
          <cell r="P159" t="str">
            <v>Non-Prime</v>
          </cell>
          <cell r="Q159" t="str">
            <v>Non-Prime</v>
          </cell>
          <cell r="R159" t="str">
            <v>Non-Prime</v>
          </cell>
          <cell r="S159" t="str">
            <v>Non-Prime</v>
          </cell>
          <cell r="T159" t="str">
            <v>Prime</v>
          </cell>
          <cell r="U159" t="str">
            <v>Prime</v>
          </cell>
          <cell r="V159" t="str">
            <v>Prime</v>
          </cell>
          <cell r="W159" t="str">
            <v>Prime</v>
          </cell>
          <cell r="X159" t="str">
            <v>Prime</v>
          </cell>
          <cell r="Y159" t="str">
            <v>Prime</v>
          </cell>
          <cell r="Z159" t="str">
            <v>Non-Prime</v>
          </cell>
          <cell r="AA159" t="str">
            <v>Non-Prime</v>
          </cell>
          <cell r="AB159" t="str">
            <v>Non-Prime</v>
          </cell>
          <cell r="AC159" t="str">
            <v>Non-Prime</v>
          </cell>
          <cell r="AD159" t="str">
            <v>Non-Prime</v>
          </cell>
          <cell r="AE159" t="str">
            <v>Non-Prime</v>
          </cell>
          <cell r="AF159" t="str">
            <v>Non-Prime</v>
          </cell>
        </row>
        <row r="160">
          <cell r="A160" t="str">
            <v>North Korea</v>
          </cell>
          <cell r="B160" t="str">
            <v>Non-Prime</v>
          </cell>
          <cell r="C160" t="str">
            <v>Non-Prime</v>
          </cell>
          <cell r="D160" t="str">
            <v>Non-Prime</v>
          </cell>
          <cell r="E160" t="str">
            <v>Non-Prime</v>
          </cell>
          <cell r="F160" t="str">
            <v>Non-Prime</v>
          </cell>
          <cell r="G160" t="str">
            <v>Non-Prime</v>
          </cell>
          <cell r="H160" t="str">
            <v>Non-Prime</v>
          </cell>
          <cell r="I160" t="str">
            <v>Non-Prime</v>
          </cell>
          <cell r="J160" t="str">
            <v>Non-Prime</v>
          </cell>
          <cell r="K160" t="str">
            <v>Non-Prime</v>
          </cell>
          <cell r="L160" t="str">
            <v>Non-Prime</v>
          </cell>
          <cell r="M160" t="str">
            <v>Non-Prime</v>
          </cell>
          <cell r="N160" t="str">
            <v>Non-Prime</v>
          </cell>
          <cell r="O160" t="str">
            <v>Non-Prime</v>
          </cell>
          <cell r="P160" t="str">
            <v>Non-Prime</v>
          </cell>
          <cell r="Q160" t="str">
            <v>Non-Prime</v>
          </cell>
          <cell r="R160" t="str">
            <v>Non-Prime</v>
          </cell>
          <cell r="S160" t="str">
            <v>Non-Prime</v>
          </cell>
          <cell r="T160" t="str">
            <v>Non-Prime</v>
          </cell>
          <cell r="U160" t="str">
            <v>Prime</v>
          </cell>
          <cell r="V160" t="str">
            <v>Prime</v>
          </cell>
          <cell r="W160" t="str">
            <v>Prime</v>
          </cell>
          <cell r="X160" t="str">
            <v>Non-Prime</v>
          </cell>
          <cell r="Y160" t="str">
            <v>Non-Prime</v>
          </cell>
          <cell r="Z160" t="str">
            <v>Non-Prime</v>
          </cell>
          <cell r="AA160" t="str">
            <v>Non-Prime</v>
          </cell>
          <cell r="AB160" t="str">
            <v>Non-Prime</v>
          </cell>
          <cell r="AC160" t="str">
            <v>Non-Prime</v>
          </cell>
          <cell r="AD160" t="str">
            <v>Non-Prime</v>
          </cell>
          <cell r="AE160" t="str">
            <v>Non-Prime</v>
          </cell>
          <cell r="AF160" t="str">
            <v>Non-Prime</v>
          </cell>
        </row>
        <row r="161">
          <cell r="A161" t="str">
            <v>Northern Mariana Islands</v>
          </cell>
          <cell r="B161" t="str">
            <v>Non-Prime</v>
          </cell>
          <cell r="C161" t="str">
            <v>Non-Prime</v>
          </cell>
          <cell r="D161" t="str">
            <v>Non-Prime</v>
          </cell>
          <cell r="E161" t="str">
            <v>Non-Prime</v>
          </cell>
          <cell r="F161" t="str">
            <v>Non-Prime</v>
          </cell>
          <cell r="G161" t="str">
            <v>Non-Prime</v>
          </cell>
          <cell r="H161" t="str">
            <v>Non-Prime</v>
          </cell>
          <cell r="I161" t="str">
            <v>Non-Prime</v>
          </cell>
          <cell r="J161" t="str">
            <v>Non-Prime</v>
          </cell>
          <cell r="K161" t="str">
            <v>Non-Prime</v>
          </cell>
          <cell r="L161" t="str">
            <v>Non-Prime</v>
          </cell>
          <cell r="M161" t="str">
            <v>Non-Prime</v>
          </cell>
          <cell r="N161" t="str">
            <v>Non-Prime</v>
          </cell>
          <cell r="O161" t="str">
            <v>Non-Prime</v>
          </cell>
          <cell r="P161" t="str">
            <v>Non-Prime</v>
          </cell>
          <cell r="Q161" t="str">
            <v>Non-Prime</v>
          </cell>
          <cell r="R161" t="str">
            <v>Non-Prime</v>
          </cell>
          <cell r="S161" t="str">
            <v>Non-Prime</v>
          </cell>
          <cell r="T161" t="str">
            <v>Prime</v>
          </cell>
          <cell r="U161" t="str">
            <v>Prime</v>
          </cell>
          <cell r="V161" t="str">
            <v>Prime</v>
          </cell>
          <cell r="W161" t="str">
            <v>Prime</v>
          </cell>
          <cell r="X161" t="str">
            <v>Prime</v>
          </cell>
          <cell r="Y161" t="str">
            <v>Prime</v>
          </cell>
          <cell r="Z161" t="str">
            <v>Non-Prime</v>
          </cell>
          <cell r="AA161" t="str">
            <v>Non-Prime</v>
          </cell>
          <cell r="AB161" t="str">
            <v>Non-Prime</v>
          </cell>
          <cell r="AC161" t="str">
            <v>Non-Prime</v>
          </cell>
          <cell r="AD161" t="str">
            <v>Non-Prime</v>
          </cell>
          <cell r="AE161" t="str">
            <v>Non-Prime</v>
          </cell>
          <cell r="AF161" t="str">
            <v>Non-Prime</v>
          </cell>
        </row>
        <row r="162">
          <cell r="A162" t="str">
            <v>Norway</v>
          </cell>
          <cell r="B162" t="str">
            <v>Non-Prime</v>
          </cell>
          <cell r="C162" t="str">
            <v>Non-Prime</v>
          </cell>
          <cell r="D162" t="str">
            <v>Non-Prime</v>
          </cell>
          <cell r="E162" t="str">
            <v>Non-Prime</v>
          </cell>
          <cell r="F162" t="str">
            <v>Non-Prime</v>
          </cell>
          <cell r="G162" t="str">
            <v>Non-Prime</v>
          </cell>
          <cell r="H162" t="str">
            <v>Non-Prime</v>
          </cell>
          <cell r="I162" t="str">
            <v>Non-Prime</v>
          </cell>
          <cell r="J162" t="str">
            <v>Non-Prime</v>
          </cell>
          <cell r="K162" t="str">
            <v>Non-Prime</v>
          </cell>
          <cell r="L162" t="str">
            <v>Non-Prime</v>
          </cell>
          <cell r="M162" t="str">
            <v>Non-Prime</v>
          </cell>
          <cell r="N162" t="str">
            <v>Non-Prime</v>
          </cell>
          <cell r="O162" t="str">
            <v>Non-Prime</v>
          </cell>
          <cell r="P162" t="str">
            <v>Non-Prime</v>
          </cell>
          <cell r="Q162" t="str">
            <v>Non-Prime</v>
          </cell>
          <cell r="R162" t="str">
            <v>Non-Prime</v>
          </cell>
          <cell r="S162" t="str">
            <v>Non-Prime</v>
          </cell>
          <cell r="T162" t="str">
            <v>Prime</v>
          </cell>
          <cell r="U162" t="str">
            <v>Prime</v>
          </cell>
          <cell r="V162" t="str">
            <v>Prime</v>
          </cell>
          <cell r="W162" t="str">
            <v>Prime</v>
          </cell>
          <cell r="X162" t="str">
            <v>Prime</v>
          </cell>
          <cell r="Y162" t="str">
            <v>Prime</v>
          </cell>
          <cell r="Z162" t="str">
            <v>Non-Prime</v>
          </cell>
          <cell r="AA162" t="str">
            <v>Non-Prime</v>
          </cell>
          <cell r="AB162" t="str">
            <v>Non-Prime</v>
          </cell>
          <cell r="AC162" t="str">
            <v>Non-Prime</v>
          </cell>
          <cell r="AD162" t="str">
            <v>Non-Prime</v>
          </cell>
          <cell r="AE162" t="str">
            <v>Non-Prime</v>
          </cell>
          <cell r="AF162" t="str">
            <v>Non-Prime</v>
          </cell>
        </row>
        <row r="163">
          <cell r="A163" t="str">
            <v>Oman</v>
          </cell>
          <cell r="B163" t="str">
            <v>Non-Prime</v>
          </cell>
          <cell r="C163" t="str">
            <v>Non-Prime</v>
          </cell>
          <cell r="D163" t="str">
            <v>Non-Prime</v>
          </cell>
          <cell r="E163" t="str">
            <v>Non-Prime</v>
          </cell>
          <cell r="F163" t="str">
            <v>Non-Prime</v>
          </cell>
          <cell r="G163" t="str">
            <v>Non-Prime</v>
          </cell>
          <cell r="H163" t="str">
            <v>Non-Prime</v>
          </cell>
          <cell r="I163" t="str">
            <v>Non-Prime</v>
          </cell>
          <cell r="J163" t="str">
            <v>Non-Prime</v>
          </cell>
          <cell r="K163" t="str">
            <v>Non-Prime</v>
          </cell>
          <cell r="L163" t="str">
            <v>Non-Prime</v>
          </cell>
          <cell r="M163" t="str">
            <v>Non-Prime</v>
          </cell>
          <cell r="N163" t="str">
            <v>Non-Prime</v>
          </cell>
          <cell r="O163" t="str">
            <v>Non-Prime</v>
          </cell>
          <cell r="P163" t="str">
            <v>Non-Prime</v>
          </cell>
          <cell r="Q163" t="str">
            <v>Non-Prime</v>
          </cell>
          <cell r="R163" t="str">
            <v>Non-Prime</v>
          </cell>
          <cell r="S163" t="str">
            <v>Non-Prime</v>
          </cell>
          <cell r="T163" t="str">
            <v>Prime</v>
          </cell>
          <cell r="U163" t="str">
            <v>Prime</v>
          </cell>
          <cell r="V163" t="str">
            <v>Prime</v>
          </cell>
          <cell r="W163" t="str">
            <v>Prime</v>
          </cell>
          <cell r="X163" t="str">
            <v>Prime</v>
          </cell>
          <cell r="Y163" t="str">
            <v>Prime</v>
          </cell>
          <cell r="Z163" t="str">
            <v>Non-Prime</v>
          </cell>
          <cell r="AA163" t="str">
            <v>Non-Prime</v>
          </cell>
          <cell r="AB163" t="str">
            <v>Non-Prime</v>
          </cell>
          <cell r="AC163" t="str">
            <v>Non-Prime</v>
          </cell>
          <cell r="AD163" t="str">
            <v>Non-Prime</v>
          </cell>
          <cell r="AE163" t="str">
            <v>Non-Prime</v>
          </cell>
          <cell r="AF163" t="str">
            <v>Non-Prime</v>
          </cell>
        </row>
        <row r="164">
          <cell r="A164" t="str">
            <v>Pakistan</v>
          </cell>
          <cell r="B164" t="str">
            <v>Non-Prime</v>
          </cell>
          <cell r="C164" t="str">
            <v>Non-Prime</v>
          </cell>
          <cell r="D164" t="str">
            <v>Non-Prime</v>
          </cell>
          <cell r="E164" t="str">
            <v>Non-Prime</v>
          </cell>
          <cell r="F164" t="str">
            <v>Non-Prime</v>
          </cell>
          <cell r="G164" t="str">
            <v>Non-Prime</v>
          </cell>
          <cell r="H164" t="str">
            <v>Non-Prime</v>
          </cell>
          <cell r="I164" t="str">
            <v>Non-Prime</v>
          </cell>
          <cell r="J164" t="str">
            <v>Non-Prime</v>
          </cell>
          <cell r="K164" t="str">
            <v>Non-Prime</v>
          </cell>
          <cell r="L164" t="str">
            <v>Non-Prime</v>
          </cell>
          <cell r="M164" t="str">
            <v>Non-Prime</v>
          </cell>
          <cell r="N164" t="str">
            <v>Non-Prime</v>
          </cell>
          <cell r="O164" t="str">
            <v>Non-Prime</v>
          </cell>
          <cell r="P164" t="str">
            <v>Non-Prime</v>
          </cell>
          <cell r="Q164" t="str">
            <v>Non-Prime</v>
          </cell>
          <cell r="R164" t="str">
            <v>Non-Prime</v>
          </cell>
          <cell r="S164" t="str">
            <v>Non-Prime</v>
          </cell>
          <cell r="T164" t="str">
            <v>Non-Prime</v>
          </cell>
          <cell r="U164" t="str">
            <v>Non-Prime</v>
          </cell>
          <cell r="V164" t="str">
            <v>Prime</v>
          </cell>
          <cell r="W164" t="str">
            <v>Prime</v>
          </cell>
          <cell r="X164" t="str">
            <v>Prime</v>
          </cell>
          <cell r="Y164" t="str">
            <v>Non-Prime</v>
          </cell>
          <cell r="Z164" t="str">
            <v>Non-Prime</v>
          </cell>
          <cell r="AA164" t="str">
            <v>Non-Prime</v>
          </cell>
          <cell r="AB164" t="str">
            <v>Non-Prime</v>
          </cell>
          <cell r="AC164" t="str">
            <v>Non-Prime</v>
          </cell>
          <cell r="AD164" t="str">
            <v>Non-Prime</v>
          </cell>
          <cell r="AE164" t="str">
            <v>Non-Prime</v>
          </cell>
          <cell r="AF164" t="str">
            <v>Non-Prime</v>
          </cell>
        </row>
        <row r="165">
          <cell r="A165" t="str">
            <v>Palestine</v>
          </cell>
          <cell r="B165" t="str">
            <v>Non-Prime</v>
          </cell>
          <cell r="C165" t="str">
            <v>Non-Prime</v>
          </cell>
          <cell r="D165" t="str">
            <v>Non-Prime</v>
          </cell>
          <cell r="E165" t="str">
            <v>Non-Prime</v>
          </cell>
          <cell r="F165" t="str">
            <v>Non-Prime</v>
          </cell>
          <cell r="G165" t="str">
            <v>Non-Prime</v>
          </cell>
          <cell r="H165" t="str">
            <v>Non-Prime</v>
          </cell>
          <cell r="I165" t="str">
            <v>Non-Prime</v>
          </cell>
          <cell r="J165" t="str">
            <v>Non-Prime</v>
          </cell>
          <cell r="K165" t="str">
            <v>Non-Prime</v>
          </cell>
          <cell r="L165" t="str">
            <v>Non-Prime</v>
          </cell>
          <cell r="M165" t="str">
            <v>Non-Prime</v>
          </cell>
          <cell r="N165" t="str">
            <v>Non-Prime</v>
          </cell>
          <cell r="O165" t="str">
            <v>Non-Prime</v>
          </cell>
          <cell r="P165" t="str">
            <v>Non-Prime</v>
          </cell>
          <cell r="Q165" t="str">
            <v>Non-Prime</v>
          </cell>
          <cell r="R165" t="str">
            <v>Non-Prime</v>
          </cell>
          <cell r="S165" t="str">
            <v>Non-Prime</v>
          </cell>
          <cell r="T165" t="str">
            <v>Non-Prime</v>
          </cell>
          <cell r="U165" t="str">
            <v>Non-Prime</v>
          </cell>
          <cell r="V165" t="str">
            <v>Prime</v>
          </cell>
          <cell r="W165" t="str">
            <v>Prime</v>
          </cell>
          <cell r="X165" t="str">
            <v>Prime</v>
          </cell>
          <cell r="Y165" t="str">
            <v>Non-Prime</v>
          </cell>
          <cell r="Z165" t="str">
            <v>Non-Prime</v>
          </cell>
          <cell r="AA165" t="str">
            <v>Non-Prime</v>
          </cell>
          <cell r="AB165" t="str">
            <v>Non-Prime</v>
          </cell>
          <cell r="AC165" t="str">
            <v>Non-Prime</v>
          </cell>
          <cell r="AD165" t="str">
            <v>Non-Prime</v>
          </cell>
          <cell r="AE165" t="str">
            <v>Non-Prime</v>
          </cell>
          <cell r="AF165" t="str">
            <v>Non-Prime</v>
          </cell>
        </row>
        <row r="166">
          <cell r="A166" t="str">
            <v>Pan (CIS)</v>
          </cell>
          <cell r="B166" t="str">
            <v>Non-Prime</v>
          </cell>
          <cell r="C166" t="str">
            <v>Non-Prime</v>
          </cell>
          <cell r="D166" t="str">
            <v>Non-Prime</v>
          </cell>
          <cell r="E166" t="str">
            <v>Non-Prime</v>
          </cell>
          <cell r="F166" t="str">
            <v>Non-Prime</v>
          </cell>
          <cell r="G166" t="str">
            <v>Non-Prime</v>
          </cell>
          <cell r="H166" t="str">
            <v>Non-Prime</v>
          </cell>
          <cell r="I166" t="str">
            <v>Non-Prime</v>
          </cell>
          <cell r="J166" t="str">
            <v>Non-Prime</v>
          </cell>
          <cell r="K166" t="str">
            <v>Non-Prime</v>
          </cell>
          <cell r="L166" t="str">
            <v>Non-Prime</v>
          </cell>
          <cell r="M166" t="str">
            <v>Non-Prime</v>
          </cell>
          <cell r="N166" t="str">
            <v>Non-Prime</v>
          </cell>
          <cell r="O166" t="str">
            <v>Non-Prime</v>
          </cell>
          <cell r="P166" t="str">
            <v>Non-Prime</v>
          </cell>
          <cell r="Q166" t="str">
            <v>Non-Prime</v>
          </cell>
          <cell r="R166" t="str">
            <v>Non-Prime</v>
          </cell>
          <cell r="S166" t="str">
            <v>Non-Prime</v>
          </cell>
          <cell r="T166" t="str">
            <v>Non-Prime</v>
          </cell>
          <cell r="U166" t="str">
            <v>Non-Prime</v>
          </cell>
          <cell r="V166" t="str">
            <v>Prime</v>
          </cell>
          <cell r="W166" t="str">
            <v>Prime</v>
          </cell>
          <cell r="X166" t="str">
            <v>Prime</v>
          </cell>
          <cell r="Y166" t="str">
            <v>Prime</v>
          </cell>
          <cell r="Z166" t="str">
            <v>Non-Prime</v>
          </cell>
          <cell r="AA166" t="str">
            <v>Non-Prime</v>
          </cell>
          <cell r="AB166" t="str">
            <v>Non-Prime</v>
          </cell>
          <cell r="AC166" t="str">
            <v>Non-Prime</v>
          </cell>
          <cell r="AD166" t="str">
            <v>Non-Prime</v>
          </cell>
          <cell r="AE166" t="str">
            <v>Non-Prime</v>
          </cell>
          <cell r="AF166" t="str">
            <v>Non-Prime</v>
          </cell>
        </row>
        <row r="167">
          <cell r="A167" t="str">
            <v>Pan Africa</v>
          </cell>
          <cell r="B167" t="str">
            <v>Non-Prime</v>
          </cell>
          <cell r="C167" t="str">
            <v>Non-Prime</v>
          </cell>
          <cell r="D167" t="str">
            <v>Non-Prime</v>
          </cell>
          <cell r="E167" t="str">
            <v>Non-Prime</v>
          </cell>
          <cell r="F167" t="str">
            <v>Non-Prime</v>
          </cell>
          <cell r="G167" t="str">
            <v>Non-Prime</v>
          </cell>
          <cell r="H167" t="str">
            <v>Non-Prime</v>
          </cell>
          <cell r="I167" t="str">
            <v>Non-Prime</v>
          </cell>
          <cell r="J167" t="str">
            <v>Non-Prime</v>
          </cell>
          <cell r="K167" t="str">
            <v>Non-Prime</v>
          </cell>
          <cell r="L167" t="str">
            <v>Non-Prime</v>
          </cell>
          <cell r="M167" t="str">
            <v>Non-Prime</v>
          </cell>
          <cell r="N167" t="str">
            <v>Non-Prime</v>
          </cell>
          <cell r="O167" t="str">
            <v>Non-Prime</v>
          </cell>
          <cell r="P167" t="str">
            <v>Non-Prime</v>
          </cell>
          <cell r="Q167" t="str">
            <v>Non-Prime</v>
          </cell>
          <cell r="R167" t="str">
            <v>Non-Prime</v>
          </cell>
          <cell r="S167" t="str">
            <v>Non-Prime</v>
          </cell>
          <cell r="T167" t="str">
            <v>Prime</v>
          </cell>
          <cell r="U167" t="str">
            <v>Prime</v>
          </cell>
          <cell r="V167" t="str">
            <v>Prime</v>
          </cell>
          <cell r="W167" t="str">
            <v>Prime</v>
          </cell>
          <cell r="X167" t="str">
            <v>Prime</v>
          </cell>
          <cell r="Y167" t="str">
            <v>Prime</v>
          </cell>
          <cell r="Z167" t="str">
            <v>Non-Prime</v>
          </cell>
          <cell r="AA167" t="str">
            <v>Non-Prime</v>
          </cell>
          <cell r="AB167" t="str">
            <v>Non-Prime</v>
          </cell>
          <cell r="AC167" t="str">
            <v>Non-Prime</v>
          </cell>
          <cell r="AD167" t="str">
            <v>Non-Prime</v>
          </cell>
          <cell r="AE167" t="str">
            <v>Non-Prime</v>
          </cell>
          <cell r="AF167" t="str">
            <v>Non-Prime</v>
          </cell>
        </row>
        <row r="168">
          <cell r="A168" t="str">
            <v>Pan Asia</v>
          </cell>
          <cell r="B168" t="str">
            <v>Non-Prime</v>
          </cell>
          <cell r="C168" t="str">
            <v>Non-Prime</v>
          </cell>
          <cell r="D168" t="str">
            <v>Non-Prime</v>
          </cell>
          <cell r="E168" t="str">
            <v>Non-Prime</v>
          </cell>
          <cell r="F168" t="str">
            <v>Non-Prime</v>
          </cell>
          <cell r="G168" t="str">
            <v>Non-Prime</v>
          </cell>
          <cell r="H168" t="str">
            <v>Non-Prime</v>
          </cell>
          <cell r="I168" t="str">
            <v>Non-Prime</v>
          </cell>
          <cell r="J168" t="str">
            <v>Non-Prime</v>
          </cell>
          <cell r="K168" t="str">
            <v>Non-Prime</v>
          </cell>
          <cell r="L168" t="str">
            <v>Non-Prime</v>
          </cell>
          <cell r="M168" t="str">
            <v>Non-Prime</v>
          </cell>
          <cell r="N168" t="str">
            <v>Non-Prime</v>
          </cell>
          <cell r="O168" t="str">
            <v>Non-Prime</v>
          </cell>
          <cell r="P168" t="str">
            <v>Non-Prime</v>
          </cell>
          <cell r="Q168" t="str">
            <v>Non-Prime</v>
          </cell>
          <cell r="R168" t="str">
            <v>Non-Prime</v>
          </cell>
          <cell r="S168" t="str">
            <v>Non-Prime</v>
          </cell>
          <cell r="T168" t="str">
            <v>Non-Prime</v>
          </cell>
          <cell r="U168" t="str">
            <v>Prime</v>
          </cell>
          <cell r="V168" t="str">
            <v>Prime</v>
          </cell>
          <cell r="W168" t="str">
            <v>Prime</v>
          </cell>
          <cell r="X168" t="str">
            <v>Non-Prime</v>
          </cell>
          <cell r="Y168" t="str">
            <v>Non-Prime</v>
          </cell>
          <cell r="Z168" t="str">
            <v>Non-Prime</v>
          </cell>
          <cell r="AA168" t="str">
            <v>Non-Prime</v>
          </cell>
          <cell r="AB168" t="str">
            <v>Non-Prime</v>
          </cell>
          <cell r="AC168" t="str">
            <v>Non-Prime</v>
          </cell>
          <cell r="AD168" t="str">
            <v>Non-Prime</v>
          </cell>
          <cell r="AE168" t="str">
            <v>Non-Prime</v>
          </cell>
          <cell r="AF168" t="str">
            <v>Non-Prime</v>
          </cell>
        </row>
        <row r="169">
          <cell r="A169" t="str">
            <v>Pan Asia (South East Asia)</v>
          </cell>
          <cell r="B169" t="str">
            <v>Non-Prime</v>
          </cell>
          <cell r="C169" t="str">
            <v>Non-Prime</v>
          </cell>
          <cell r="D169" t="str">
            <v>Non-Prime</v>
          </cell>
          <cell r="E169" t="str">
            <v>Non-Prime</v>
          </cell>
          <cell r="F169" t="str">
            <v>Non-Prime</v>
          </cell>
          <cell r="G169" t="str">
            <v>Non-Prime</v>
          </cell>
          <cell r="H169" t="str">
            <v>Non-Prime</v>
          </cell>
          <cell r="I169" t="str">
            <v>Non-Prime</v>
          </cell>
          <cell r="J169" t="str">
            <v>Non-Prime</v>
          </cell>
          <cell r="K169" t="str">
            <v>Non-Prime</v>
          </cell>
          <cell r="L169" t="str">
            <v>Non-Prime</v>
          </cell>
          <cell r="M169" t="str">
            <v>Non-Prime</v>
          </cell>
          <cell r="N169" t="str">
            <v>Non-Prime</v>
          </cell>
          <cell r="O169" t="str">
            <v>Non-Prime</v>
          </cell>
          <cell r="P169" t="str">
            <v>Non-Prime</v>
          </cell>
          <cell r="Q169" t="str">
            <v>Non-Prime</v>
          </cell>
          <cell r="R169" t="str">
            <v>Non-Prime</v>
          </cell>
          <cell r="S169" t="str">
            <v>Non-Prime</v>
          </cell>
          <cell r="T169" t="str">
            <v>Non-Prime</v>
          </cell>
          <cell r="U169" t="str">
            <v>Prime</v>
          </cell>
          <cell r="V169" t="str">
            <v>Prime</v>
          </cell>
          <cell r="W169" t="str">
            <v>Prime</v>
          </cell>
          <cell r="X169" t="str">
            <v>Non-Prime</v>
          </cell>
          <cell r="Y169" t="str">
            <v>Non-Prime</v>
          </cell>
          <cell r="Z169" t="str">
            <v>Non-Prime</v>
          </cell>
          <cell r="AA169" t="str">
            <v>Non-Prime</v>
          </cell>
          <cell r="AB169" t="str">
            <v>Non-Prime</v>
          </cell>
          <cell r="AC169" t="str">
            <v>Non-Prime</v>
          </cell>
          <cell r="AD169" t="str">
            <v>Non-Prime</v>
          </cell>
          <cell r="AE169" t="str">
            <v>Non-Prime</v>
          </cell>
          <cell r="AF169" t="str">
            <v>Non-Prime</v>
          </cell>
        </row>
        <row r="170">
          <cell r="A170" t="str">
            <v>Pan Asia Pacific</v>
          </cell>
          <cell r="B170" t="str">
            <v>Non-Prime</v>
          </cell>
          <cell r="C170" t="str">
            <v>Non-Prime</v>
          </cell>
          <cell r="D170" t="str">
            <v>Non-Prime</v>
          </cell>
          <cell r="E170" t="str">
            <v>Non-Prime</v>
          </cell>
          <cell r="F170" t="str">
            <v>Non-Prime</v>
          </cell>
          <cell r="G170" t="str">
            <v>Non-Prime</v>
          </cell>
          <cell r="H170" t="str">
            <v>Non-Prime</v>
          </cell>
          <cell r="I170" t="str">
            <v>Non-Prime</v>
          </cell>
          <cell r="J170" t="str">
            <v>Non-Prime</v>
          </cell>
          <cell r="K170" t="str">
            <v>Non-Prime</v>
          </cell>
          <cell r="L170" t="str">
            <v>Non-Prime</v>
          </cell>
          <cell r="M170" t="str">
            <v>Non-Prime</v>
          </cell>
          <cell r="N170" t="str">
            <v>Non-Prime</v>
          </cell>
          <cell r="O170" t="str">
            <v>Non-Prime</v>
          </cell>
          <cell r="P170" t="str">
            <v>Non-Prime</v>
          </cell>
          <cell r="Q170" t="str">
            <v>Non-Prime</v>
          </cell>
          <cell r="R170" t="str">
            <v>Non-Prime</v>
          </cell>
          <cell r="S170" t="str">
            <v>Non-Prime</v>
          </cell>
          <cell r="T170" t="str">
            <v>Non-Prime</v>
          </cell>
          <cell r="U170" t="str">
            <v>Prime</v>
          </cell>
          <cell r="V170" t="str">
            <v>Prime</v>
          </cell>
          <cell r="W170" t="str">
            <v>Prime</v>
          </cell>
          <cell r="X170" t="str">
            <v>Non-Prime</v>
          </cell>
          <cell r="Y170" t="str">
            <v>Non-Prime</v>
          </cell>
          <cell r="Z170" t="str">
            <v>Non-Prime</v>
          </cell>
          <cell r="AA170" t="str">
            <v>Non-Prime</v>
          </cell>
          <cell r="AB170" t="str">
            <v>Non-Prime</v>
          </cell>
          <cell r="AC170" t="str">
            <v>Non-Prime</v>
          </cell>
          <cell r="AD170" t="str">
            <v>Non-Prime</v>
          </cell>
          <cell r="AE170" t="str">
            <v>Non-Prime</v>
          </cell>
          <cell r="AF170" t="str">
            <v>Non-Prime</v>
          </cell>
        </row>
        <row r="171">
          <cell r="A171" t="str">
            <v>Pan Asia Pacific (Indian Sub Continent)</v>
          </cell>
          <cell r="B171" t="str">
            <v>Non-Prime</v>
          </cell>
          <cell r="C171" t="str">
            <v>Non-Prime</v>
          </cell>
          <cell r="D171" t="str">
            <v>Non-Prime</v>
          </cell>
          <cell r="E171" t="str">
            <v>Non-Prime</v>
          </cell>
          <cell r="F171" t="str">
            <v>Non-Prime</v>
          </cell>
          <cell r="G171" t="str">
            <v>Non-Prime</v>
          </cell>
          <cell r="H171" t="str">
            <v>Non-Prime</v>
          </cell>
          <cell r="I171" t="str">
            <v>Non-Prime</v>
          </cell>
          <cell r="J171" t="str">
            <v>Non-Prime</v>
          </cell>
          <cell r="K171" t="str">
            <v>Non-Prime</v>
          </cell>
          <cell r="L171" t="str">
            <v>Non-Prime</v>
          </cell>
          <cell r="M171" t="str">
            <v>Non-Prime</v>
          </cell>
          <cell r="N171" t="str">
            <v>Non-Prime</v>
          </cell>
          <cell r="O171" t="str">
            <v>Non-Prime</v>
          </cell>
          <cell r="P171" t="str">
            <v>Non-Prime</v>
          </cell>
          <cell r="Q171" t="str">
            <v>Non-Prime</v>
          </cell>
          <cell r="R171" t="str">
            <v>Non-Prime</v>
          </cell>
          <cell r="S171" t="str">
            <v>Non-Prime</v>
          </cell>
          <cell r="T171" t="str">
            <v>Non-Prime</v>
          </cell>
          <cell r="U171" t="str">
            <v>Prime</v>
          </cell>
          <cell r="V171" t="str">
            <v>Prime</v>
          </cell>
          <cell r="W171" t="str">
            <v>Prime</v>
          </cell>
          <cell r="X171" t="str">
            <v>Non-Prime</v>
          </cell>
          <cell r="Y171" t="str">
            <v>Non-Prime</v>
          </cell>
          <cell r="Z171" t="str">
            <v>Non-Prime</v>
          </cell>
          <cell r="AA171" t="str">
            <v>Non-Prime</v>
          </cell>
          <cell r="AB171" t="str">
            <v>Non-Prime</v>
          </cell>
          <cell r="AC171" t="str">
            <v>Non-Prime</v>
          </cell>
          <cell r="AD171" t="str">
            <v>Non-Prime</v>
          </cell>
          <cell r="AE171" t="str">
            <v>Non-Prime</v>
          </cell>
          <cell r="AF171" t="str">
            <v>Non-Prime</v>
          </cell>
        </row>
        <row r="172">
          <cell r="A172" t="str">
            <v>Pan Balcan</v>
          </cell>
          <cell r="B172" t="str">
            <v>Non-Prime</v>
          </cell>
          <cell r="C172" t="str">
            <v>Non-Prime</v>
          </cell>
          <cell r="D172" t="str">
            <v>Non-Prime</v>
          </cell>
          <cell r="E172" t="str">
            <v>Non-Prime</v>
          </cell>
          <cell r="F172" t="str">
            <v>Non-Prime</v>
          </cell>
          <cell r="G172" t="str">
            <v>Non-Prime</v>
          </cell>
          <cell r="H172" t="str">
            <v>Non-Prime</v>
          </cell>
          <cell r="I172" t="str">
            <v>Non-Prime</v>
          </cell>
          <cell r="J172" t="str">
            <v>Non-Prime</v>
          </cell>
          <cell r="K172" t="str">
            <v>Non-Prime</v>
          </cell>
          <cell r="L172" t="str">
            <v>Non-Prime</v>
          </cell>
          <cell r="M172" t="str">
            <v>Non-Prime</v>
          </cell>
          <cell r="N172" t="str">
            <v>Non-Prime</v>
          </cell>
          <cell r="O172" t="str">
            <v>Non-Prime</v>
          </cell>
          <cell r="P172" t="str">
            <v>Non-Prime</v>
          </cell>
          <cell r="Q172" t="str">
            <v>Non-Prime</v>
          </cell>
          <cell r="R172" t="str">
            <v>Non-Prime</v>
          </cell>
          <cell r="S172" t="str">
            <v>Non-Prime</v>
          </cell>
          <cell r="T172" t="str">
            <v>Non-Prime</v>
          </cell>
          <cell r="U172" t="str">
            <v>Prime</v>
          </cell>
          <cell r="V172" t="str">
            <v>Prime</v>
          </cell>
          <cell r="W172" t="str">
            <v>Prime</v>
          </cell>
          <cell r="X172" t="str">
            <v>Prime</v>
          </cell>
          <cell r="Y172" t="str">
            <v>Non-Prime</v>
          </cell>
          <cell r="Z172" t="str">
            <v>Non-Prime</v>
          </cell>
          <cell r="AA172" t="str">
            <v>Non-Prime</v>
          </cell>
          <cell r="AB172" t="str">
            <v>Non-Prime</v>
          </cell>
          <cell r="AC172" t="str">
            <v>Non-Prime</v>
          </cell>
          <cell r="AD172" t="str">
            <v>Non-Prime</v>
          </cell>
          <cell r="AE172" t="str">
            <v>Non-Prime</v>
          </cell>
          <cell r="AF172" t="str">
            <v>Non-Prime</v>
          </cell>
        </row>
        <row r="173">
          <cell r="A173" t="str">
            <v>Pan Balkans</v>
          </cell>
          <cell r="B173" t="str">
            <v>Non-Prime</v>
          </cell>
          <cell r="C173" t="str">
            <v>Non-Prime</v>
          </cell>
          <cell r="D173" t="str">
            <v>Non-Prime</v>
          </cell>
          <cell r="E173" t="str">
            <v>Non-Prime</v>
          </cell>
          <cell r="F173" t="str">
            <v>Non-Prime</v>
          </cell>
          <cell r="G173" t="str">
            <v>Non-Prime</v>
          </cell>
          <cell r="H173" t="str">
            <v>Non-Prime</v>
          </cell>
          <cell r="I173" t="str">
            <v>Non-Prime</v>
          </cell>
          <cell r="J173" t="str">
            <v>Non-Prime</v>
          </cell>
          <cell r="K173" t="str">
            <v>Non-Prime</v>
          </cell>
          <cell r="L173" t="str">
            <v>Non-Prime</v>
          </cell>
          <cell r="M173" t="str">
            <v>Non-Prime</v>
          </cell>
          <cell r="N173" t="str">
            <v>Non-Prime</v>
          </cell>
          <cell r="O173" t="str">
            <v>Non-Prime</v>
          </cell>
          <cell r="P173" t="str">
            <v>Non-Prime</v>
          </cell>
          <cell r="Q173" t="str">
            <v>Non-Prime</v>
          </cell>
          <cell r="R173" t="str">
            <v>Non-Prime</v>
          </cell>
          <cell r="S173" t="str">
            <v>Non-Prime</v>
          </cell>
          <cell r="T173" t="str">
            <v>Non-Prime</v>
          </cell>
          <cell r="U173" t="str">
            <v>Prime</v>
          </cell>
          <cell r="V173" t="str">
            <v>Prime</v>
          </cell>
          <cell r="W173" t="str">
            <v>Prime</v>
          </cell>
          <cell r="X173" t="str">
            <v>Prime</v>
          </cell>
          <cell r="Y173" t="str">
            <v>Non-Prime</v>
          </cell>
          <cell r="Z173" t="str">
            <v>Non-Prime</v>
          </cell>
          <cell r="AA173" t="str">
            <v>Non-Prime</v>
          </cell>
          <cell r="AB173" t="str">
            <v>Non-Prime</v>
          </cell>
          <cell r="AC173" t="str">
            <v>Non-Prime</v>
          </cell>
          <cell r="AD173" t="str">
            <v>Non-Prime</v>
          </cell>
          <cell r="AE173" t="str">
            <v>Non-Prime</v>
          </cell>
          <cell r="AF173" t="str">
            <v>Non-Prime</v>
          </cell>
        </row>
        <row r="174">
          <cell r="A174" t="str">
            <v>Pan Baltic</v>
          </cell>
          <cell r="B174" t="str">
            <v>Non-Prime</v>
          </cell>
          <cell r="C174" t="str">
            <v>Non-Prime</v>
          </cell>
          <cell r="D174" t="str">
            <v>Non-Prime</v>
          </cell>
          <cell r="E174" t="str">
            <v>Non-Prime</v>
          </cell>
          <cell r="F174" t="str">
            <v>Non-Prime</v>
          </cell>
          <cell r="G174" t="str">
            <v>Non-Prime</v>
          </cell>
          <cell r="H174" t="str">
            <v>Non-Prime</v>
          </cell>
          <cell r="I174" t="str">
            <v>Non-Prime</v>
          </cell>
          <cell r="J174" t="str">
            <v>Non-Prime</v>
          </cell>
          <cell r="K174" t="str">
            <v>Non-Prime</v>
          </cell>
          <cell r="L174" t="str">
            <v>Non-Prime</v>
          </cell>
          <cell r="M174" t="str">
            <v>Non-Prime</v>
          </cell>
          <cell r="N174" t="str">
            <v>Non-Prime</v>
          </cell>
          <cell r="O174" t="str">
            <v>Non-Prime</v>
          </cell>
          <cell r="P174" t="str">
            <v>Non-Prime</v>
          </cell>
          <cell r="Q174" t="str">
            <v>Non-Prime</v>
          </cell>
          <cell r="R174" t="str">
            <v>Non-Prime</v>
          </cell>
          <cell r="S174" t="str">
            <v>Non-Prime</v>
          </cell>
          <cell r="T174" t="str">
            <v>Non-Prime</v>
          </cell>
          <cell r="U174" t="str">
            <v>Prime</v>
          </cell>
          <cell r="V174" t="str">
            <v>Prime</v>
          </cell>
          <cell r="W174" t="str">
            <v>Prime</v>
          </cell>
          <cell r="X174" t="str">
            <v>Prime</v>
          </cell>
          <cell r="Y174" t="str">
            <v>Non-Prime</v>
          </cell>
          <cell r="Z174" t="str">
            <v>Non-Prime</v>
          </cell>
          <cell r="AA174" t="str">
            <v>Non-Prime</v>
          </cell>
          <cell r="AB174" t="str">
            <v>Non-Prime</v>
          </cell>
          <cell r="AC174" t="str">
            <v>Non-Prime</v>
          </cell>
          <cell r="AD174" t="str">
            <v>Non-Prime</v>
          </cell>
          <cell r="AE174" t="str">
            <v>Non-Prime</v>
          </cell>
          <cell r="AF174" t="str">
            <v>Non-Prime</v>
          </cell>
        </row>
        <row r="175">
          <cell r="A175" t="str">
            <v>Pan Benelux</v>
          </cell>
          <cell r="B175" t="str">
            <v>Non-Prime</v>
          </cell>
          <cell r="C175" t="str">
            <v>Non-Prime</v>
          </cell>
          <cell r="D175" t="str">
            <v>Non-Prime</v>
          </cell>
          <cell r="E175" t="str">
            <v>Non-Prime</v>
          </cell>
          <cell r="F175" t="str">
            <v>Non-Prime</v>
          </cell>
          <cell r="G175" t="str">
            <v>Non-Prime</v>
          </cell>
          <cell r="H175" t="str">
            <v>Non-Prime</v>
          </cell>
          <cell r="I175" t="str">
            <v>Non-Prime</v>
          </cell>
          <cell r="J175" t="str">
            <v>Non-Prime</v>
          </cell>
          <cell r="K175" t="str">
            <v>Non-Prime</v>
          </cell>
          <cell r="L175" t="str">
            <v>Non-Prime</v>
          </cell>
          <cell r="M175" t="str">
            <v>Non-Prime</v>
          </cell>
          <cell r="N175" t="str">
            <v>Non-Prime</v>
          </cell>
          <cell r="O175" t="str">
            <v>Non-Prime</v>
          </cell>
          <cell r="P175" t="str">
            <v>Non-Prime</v>
          </cell>
          <cell r="Q175" t="str">
            <v>Non-Prime</v>
          </cell>
          <cell r="R175" t="str">
            <v>Non-Prime</v>
          </cell>
          <cell r="S175" t="str">
            <v>Non-Prime</v>
          </cell>
          <cell r="T175" t="str">
            <v>Non-Prime</v>
          </cell>
          <cell r="U175" t="str">
            <v>Non-Prime</v>
          </cell>
          <cell r="V175" t="str">
            <v>Prime</v>
          </cell>
          <cell r="W175" t="str">
            <v>Prime</v>
          </cell>
          <cell r="X175" t="str">
            <v>Prime</v>
          </cell>
          <cell r="Y175" t="str">
            <v>Non-Prime</v>
          </cell>
          <cell r="Z175" t="str">
            <v>Non-Prime</v>
          </cell>
          <cell r="AA175" t="str">
            <v>Non-Prime</v>
          </cell>
          <cell r="AB175" t="str">
            <v>Non-Prime</v>
          </cell>
          <cell r="AC175" t="str">
            <v>Non-Prime</v>
          </cell>
          <cell r="AD175" t="str">
            <v>Non-Prime</v>
          </cell>
          <cell r="AE175" t="str">
            <v>Non-Prime</v>
          </cell>
          <cell r="AF175" t="str">
            <v>Non-Prime</v>
          </cell>
        </row>
        <row r="176">
          <cell r="A176" t="str">
            <v>Pan C&amp;S America (Caribbean)</v>
          </cell>
          <cell r="B176" t="str">
            <v>Non-Prime</v>
          </cell>
          <cell r="C176" t="str">
            <v>Non-Prime</v>
          </cell>
          <cell r="D176" t="str">
            <v>Non-Prime</v>
          </cell>
          <cell r="E176" t="str">
            <v>Non-Prime</v>
          </cell>
          <cell r="F176" t="str">
            <v>Non-Prime</v>
          </cell>
          <cell r="G176" t="str">
            <v>Non-Prime</v>
          </cell>
          <cell r="H176" t="str">
            <v>Non-Prime</v>
          </cell>
          <cell r="I176" t="str">
            <v>Non-Prime</v>
          </cell>
          <cell r="J176" t="str">
            <v>Non-Prime</v>
          </cell>
          <cell r="K176" t="str">
            <v>Non-Prime</v>
          </cell>
          <cell r="L176" t="str">
            <v>Non-Prime</v>
          </cell>
          <cell r="M176" t="str">
            <v>Non-Prime</v>
          </cell>
          <cell r="N176" t="str">
            <v>Non-Prime</v>
          </cell>
          <cell r="O176" t="str">
            <v>Non-Prime</v>
          </cell>
          <cell r="P176" t="str">
            <v>Non-Prime</v>
          </cell>
          <cell r="Q176" t="str">
            <v>Non-Prime</v>
          </cell>
          <cell r="R176" t="str">
            <v>Non-Prime</v>
          </cell>
          <cell r="S176" t="str">
            <v>Non-Prime</v>
          </cell>
          <cell r="T176" t="str">
            <v>Prime</v>
          </cell>
          <cell r="U176" t="str">
            <v>Prime</v>
          </cell>
          <cell r="V176" t="str">
            <v>Prime</v>
          </cell>
          <cell r="W176" t="str">
            <v>Prime</v>
          </cell>
          <cell r="X176" t="str">
            <v>Prime</v>
          </cell>
          <cell r="Y176" t="str">
            <v>Non-Prime</v>
          </cell>
          <cell r="Z176" t="str">
            <v>Non-Prime</v>
          </cell>
          <cell r="AA176" t="str">
            <v>Non-Prime</v>
          </cell>
          <cell r="AB176" t="str">
            <v>Non-Prime</v>
          </cell>
          <cell r="AC176" t="str">
            <v>Non-Prime</v>
          </cell>
          <cell r="AD176" t="str">
            <v>Non-Prime</v>
          </cell>
          <cell r="AE176" t="str">
            <v>Non-Prime</v>
          </cell>
          <cell r="AF176" t="str">
            <v>Non-Prime</v>
          </cell>
        </row>
        <row r="177">
          <cell r="A177" t="str">
            <v>Pan C&amp;S America (Latin America)</v>
          </cell>
          <cell r="B177" t="str">
            <v>Non-Prime</v>
          </cell>
          <cell r="C177" t="str">
            <v>Non-Prime</v>
          </cell>
          <cell r="D177" t="str">
            <v>Non-Prime</v>
          </cell>
          <cell r="E177" t="str">
            <v>Non-Prime</v>
          </cell>
          <cell r="F177" t="str">
            <v>Non-Prime</v>
          </cell>
          <cell r="G177" t="str">
            <v>Non-Prime</v>
          </cell>
          <cell r="H177" t="str">
            <v>Non-Prime</v>
          </cell>
          <cell r="I177" t="str">
            <v>Non-Prime</v>
          </cell>
          <cell r="J177" t="str">
            <v>Non-Prime</v>
          </cell>
          <cell r="K177" t="str">
            <v>Non-Prime</v>
          </cell>
          <cell r="L177" t="str">
            <v>Non-Prime</v>
          </cell>
          <cell r="M177" t="str">
            <v>Non-Prime</v>
          </cell>
          <cell r="N177" t="str">
            <v>Non-Prime</v>
          </cell>
          <cell r="O177" t="str">
            <v>Non-Prime</v>
          </cell>
          <cell r="P177" t="str">
            <v>Non-Prime</v>
          </cell>
          <cell r="Q177" t="str">
            <v>Non-Prime</v>
          </cell>
          <cell r="R177" t="str">
            <v>Non-Prime</v>
          </cell>
          <cell r="S177" t="str">
            <v>Non-Prime</v>
          </cell>
          <cell r="T177" t="str">
            <v>Non-Prime</v>
          </cell>
          <cell r="U177" t="str">
            <v>Non-Prime</v>
          </cell>
          <cell r="V177" t="str">
            <v>Prime</v>
          </cell>
          <cell r="W177" t="str">
            <v>Prime</v>
          </cell>
          <cell r="X177" t="str">
            <v>Prime</v>
          </cell>
          <cell r="Y177" t="str">
            <v>Prime</v>
          </cell>
          <cell r="Z177" t="str">
            <v>Non-Prime</v>
          </cell>
          <cell r="AA177" t="str">
            <v>Non-Prime</v>
          </cell>
          <cell r="AB177" t="str">
            <v>Non-Prime</v>
          </cell>
          <cell r="AC177" t="str">
            <v>Non-Prime</v>
          </cell>
          <cell r="AD177" t="str">
            <v>Non-Prime</v>
          </cell>
          <cell r="AE177" t="str">
            <v>Non-Prime</v>
          </cell>
          <cell r="AF177" t="str">
            <v>Non-Prime</v>
          </cell>
        </row>
        <row r="178">
          <cell r="A178" t="str">
            <v>Pan C&amp;S America (Northern Latin America)</v>
          </cell>
          <cell r="B178" t="str">
            <v>Non-Prime</v>
          </cell>
          <cell r="C178" t="str">
            <v>Non-Prime</v>
          </cell>
          <cell r="D178" t="str">
            <v>Non-Prime</v>
          </cell>
          <cell r="E178" t="str">
            <v>Non-Prime</v>
          </cell>
          <cell r="F178" t="str">
            <v>Non-Prime</v>
          </cell>
          <cell r="G178" t="str">
            <v>Non-Prime</v>
          </cell>
          <cell r="H178" t="str">
            <v>Non-Prime</v>
          </cell>
          <cell r="I178" t="str">
            <v>Non-Prime</v>
          </cell>
          <cell r="J178" t="str">
            <v>Non-Prime</v>
          </cell>
          <cell r="K178" t="str">
            <v>Non-Prime</v>
          </cell>
          <cell r="L178" t="str">
            <v>Non-Prime</v>
          </cell>
          <cell r="M178" t="str">
            <v>Non-Prime</v>
          </cell>
          <cell r="N178" t="str">
            <v>Non-Prime</v>
          </cell>
          <cell r="O178" t="str">
            <v>Non-Prime</v>
          </cell>
          <cell r="P178" t="str">
            <v>Non-Prime</v>
          </cell>
          <cell r="Q178" t="str">
            <v>Non-Prime</v>
          </cell>
          <cell r="R178" t="str">
            <v>Non-Prime</v>
          </cell>
          <cell r="S178" t="str">
            <v>Non-Prime</v>
          </cell>
          <cell r="T178" t="str">
            <v>Non-Prime</v>
          </cell>
          <cell r="U178" t="str">
            <v>Non-Prime</v>
          </cell>
          <cell r="V178" t="str">
            <v>Prime</v>
          </cell>
          <cell r="W178" t="str">
            <v>Prime</v>
          </cell>
          <cell r="X178" t="str">
            <v>Prime</v>
          </cell>
          <cell r="Y178" t="str">
            <v>Prime</v>
          </cell>
          <cell r="Z178" t="str">
            <v>Non-Prime</v>
          </cell>
          <cell r="AA178" t="str">
            <v>Non-Prime</v>
          </cell>
          <cell r="AB178" t="str">
            <v>Non-Prime</v>
          </cell>
          <cell r="AC178" t="str">
            <v>Non-Prime</v>
          </cell>
          <cell r="AD178" t="str">
            <v>Non-Prime</v>
          </cell>
          <cell r="AE178" t="str">
            <v>Non-Prime</v>
          </cell>
          <cell r="AF178" t="str">
            <v>Non-Prime</v>
          </cell>
        </row>
        <row r="179">
          <cell r="A179" t="str">
            <v>Pan C&amp;S America (South Andina)</v>
          </cell>
          <cell r="B179" t="str">
            <v>Non-Prime</v>
          </cell>
          <cell r="C179" t="str">
            <v>Non-Prime</v>
          </cell>
          <cell r="D179" t="str">
            <v>Non-Prime</v>
          </cell>
          <cell r="E179" t="str">
            <v>Non-Prime</v>
          </cell>
          <cell r="F179" t="str">
            <v>Non-Prime</v>
          </cell>
          <cell r="G179" t="str">
            <v>Non-Prime</v>
          </cell>
          <cell r="H179" t="str">
            <v>Non-Prime</v>
          </cell>
          <cell r="I179" t="str">
            <v>Non-Prime</v>
          </cell>
          <cell r="J179" t="str">
            <v>Non-Prime</v>
          </cell>
          <cell r="K179" t="str">
            <v>Non-Prime</v>
          </cell>
          <cell r="L179" t="str">
            <v>Non-Prime</v>
          </cell>
          <cell r="M179" t="str">
            <v>Non-Prime</v>
          </cell>
          <cell r="N179" t="str">
            <v>Non-Prime</v>
          </cell>
          <cell r="O179" t="str">
            <v>Non-Prime</v>
          </cell>
          <cell r="P179" t="str">
            <v>Non-Prime</v>
          </cell>
          <cell r="Q179" t="str">
            <v>Non-Prime</v>
          </cell>
          <cell r="R179" t="str">
            <v>Non-Prime</v>
          </cell>
          <cell r="S179" t="str">
            <v>Non-Prime</v>
          </cell>
          <cell r="T179" t="str">
            <v>Non-Prime</v>
          </cell>
          <cell r="U179" t="str">
            <v>Non-Prime</v>
          </cell>
          <cell r="V179" t="str">
            <v>Prime</v>
          </cell>
          <cell r="W179" t="str">
            <v>Prime</v>
          </cell>
          <cell r="X179" t="str">
            <v>Prime</v>
          </cell>
          <cell r="Y179" t="str">
            <v>Prime</v>
          </cell>
          <cell r="Z179" t="str">
            <v>Non-Prime</v>
          </cell>
          <cell r="AA179" t="str">
            <v>Non-Prime</v>
          </cell>
          <cell r="AB179" t="str">
            <v>Non-Prime</v>
          </cell>
          <cell r="AC179" t="str">
            <v>Non-Prime</v>
          </cell>
          <cell r="AD179" t="str">
            <v>Non-Prime</v>
          </cell>
          <cell r="AE179" t="str">
            <v>Non-Prime</v>
          </cell>
          <cell r="AF179" t="str">
            <v>Non-Prime</v>
          </cell>
        </row>
        <row r="180">
          <cell r="A180" t="str">
            <v>Pan Caribbean</v>
          </cell>
          <cell r="B180" t="str">
            <v>Non-Prime</v>
          </cell>
          <cell r="C180" t="str">
            <v>Non-Prime</v>
          </cell>
          <cell r="D180" t="str">
            <v>Non-Prime</v>
          </cell>
          <cell r="E180" t="str">
            <v>Non-Prime</v>
          </cell>
          <cell r="F180" t="str">
            <v>Non-Prime</v>
          </cell>
          <cell r="G180" t="str">
            <v>Non-Prime</v>
          </cell>
          <cell r="H180" t="str">
            <v>Non-Prime</v>
          </cell>
          <cell r="I180" t="str">
            <v>Non-Prime</v>
          </cell>
          <cell r="J180" t="str">
            <v>Non-Prime</v>
          </cell>
          <cell r="K180" t="str">
            <v>Non-Prime</v>
          </cell>
          <cell r="L180" t="str">
            <v>Non-Prime</v>
          </cell>
          <cell r="M180" t="str">
            <v>Non-Prime</v>
          </cell>
          <cell r="N180" t="str">
            <v>Non-Prime</v>
          </cell>
          <cell r="O180" t="str">
            <v>Non-Prime</v>
          </cell>
          <cell r="P180" t="str">
            <v>Non-Prime</v>
          </cell>
          <cell r="Q180" t="str">
            <v>Non-Prime</v>
          </cell>
          <cell r="R180" t="str">
            <v>Non-Prime</v>
          </cell>
          <cell r="S180" t="str">
            <v>Non-Prime</v>
          </cell>
          <cell r="T180" t="str">
            <v>Non-Prime</v>
          </cell>
          <cell r="U180" t="str">
            <v>Non-Prime</v>
          </cell>
          <cell r="V180" t="str">
            <v>Prime</v>
          </cell>
          <cell r="W180" t="str">
            <v>Prime</v>
          </cell>
          <cell r="X180" t="str">
            <v>Prime</v>
          </cell>
          <cell r="Y180" t="str">
            <v>Prime</v>
          </cell>
          <cell r="Z180" t="str">
            <v>Non-Prime</v>
          </cell>
          <cell r="AA180" t="str">
            <v>Non-Prime</v>
          </cell>
          <cell r="AB180" t="str">
            <v>Non-Prime</v>
          </cell>
          <cell r="AC180" t="str">
            <v>Non-Prime</v>
          </cell>
          <cell r="AD180" t="str">
            <v>Non-Prime</v>
          </cell>
          <cell r="AE180" t="str">
            <v>Non-Prime</v>
          </cell>
          <cell r="AF180" t="str">
            <v>Non-Prime</v>
          </cell>
        </row>
        <row r="181">
          <cell r="A181" t="str">
            <v>Pan Central America</v>
          </cell>
          <cell r="B181" t="str">
            <v>Non-Prime</v>
          </cell>
          <cell r="C181" t="str">
            <v>Non-Prime</v>
          </cell>
          <cell r="D181" t="str">
            <v>Non-Prime</v>
          </cell>
          <cell r="E181" t="str">
            <v>Non-Prime</v>
          </cell>
          <cell r="F181" t="str">
            <v>Non-Prime</v>
          </cell>
          <cell r="G181" t="str">
            <v>Non-Prime</v>
          </cell>
          <cell r="H181" t="str">
            <v>Non-Prime</v>
          </cell>
          <cell r="I181" t="str">
            <v>Non-Prime</v>
          </cell>
          <cell r="J181" t="str">
            <v>Non-Prime</v>
          </cell>
          <cell r="K181" t="str">
            <v>Non-Prime</v>
          </cell>
          <cell r="L181" t="str">
            <v>Non-Prime</v>
          </cell>
          <cell r="M181" t="str">
            <v>Non-Prime</v>
          </cell>
          <cell r="N181" t="str">
            <v>Non-Prime</v>
          </cell>
          <cell r="O181" t="str">
            <v>Non-Prime</v>
          </cell>
          <cell r="P181" t="str">
            <v>Non-Prime</v>
          </cell>
          <cell r="Q181" t="str">
            <v>Non-Prime</v>
          </cell>
          <cell r="R181" t="str">
            <v>Non-Prime</v>
          </cell>
          <cell r="S181" t="str">
            <v>Non-Prime</v>
          </cell>
          <cell r="T181" t="str">
            <v>Non-Prime</v>
          </cell>
          <cell r="U181" t="str">
            <v>Non-Prime</v>
          </cell>
          <cell r="V181" t="str">
            <v>Prime</v>
          </cell>
          <cell r="W181" t="str">
            <v>Prime</v>
          </cell>
          <cell r="X181" t="str">
            <v>Prime</v>
          </cell>
          <cell r="Y181" t="str">
            <v>Prime</v>
          </cell>
          <cell r="Z181" t="str">
            <v>Non-Prime</v>
          </cell>
          <cell r="AA181" t="str">
            <v>Non-Prime</v>
          </cell>
          <cell r="AB181" t="str">
            <v>Non-Prime</v>
          </cell>
          <cell r="AC181" t="str">
            <v>Non-Prime</v>
          </cell>
          <cell r="AD181" t="str">
            <v>Non-Prime</v>
          </cell>
          <cell r="AE181" t="str">
            <v>Non-Prime</v>
          </cell>
          <cell r="AF181" t="str">
            <v>Non-Prime</v>
          </cell>
        </row>
        <row r="182">
          <cell r="A182" t="str">
            <v>Pan DACH</v>
          </cell>
          <cell r="B182" t="str">
            <v>Non-Prime</v>
          </cell>
          <cell r="C182" t="str">
            <v>Non-Prime</v>
          </cell>
          <cell r="D182" t="str">
            <v>Non-Prime</v>
          </cell>
          <cell r="E182" t="str">
            <v>Non-Prime</v>
          </cell>
          <cell r="F182" t="str">
            <v>Non-Prime</v>
          </cell>
          <cell r="G182" t="str">
            <v>Non-Prime</v>
          </cell>
          <cell r="H182" t="str">
            <v>Non-Prime</v>
          </cell>
          <cell r="I182" t="str">
            <v>Non-Prime</v>
          </cell>
          <cell r="J182" t="str">
            <v>Non-Prime</v>
          </cell>
          <cell r="K182" t="str">
            <v>Non-Prime</v>
          </cell>
          <cell r="L182" t="str">
            <v>Non-Prime</v>
          </cell>
          <cell r="M182" t="str">
            <v>Non-Prime</v>
          </cell>
          <cell r="N182" t="str">
            <v>Non-Prime</v>
          </cell>
          <cell r="O182" t="str">
            <v>Non-Prime</v>
          </cell>
          <cell r="P182" t="str">
            <v>Non-Prime</v>
          </cell>
          <cell r="Q182" t="str">
            <v>Non-Prime</v>
          </cell>
          <cell r="R182" t="str">
            <v>Non-Prime</v>
          </cell>
          <cell r="S182" t="str">
            <v>Non-Prime</v>
          </cell>
          <cell r="T182" t="str">
            <v>Non-Prime</v>
          </cell>
          <cell r="U182" t="str">
            <v>Prime</v>
          </cell>
          <cell r="V182" t="str">
            <v>Prime</v>
          </cell>
          <cell r="W182" t="str">
            <v>Prime</v>
          </cell>
          <cell r="X182" t="str">
            <v>Prime</v>
          </cell>
          <cell r="Y182" t="str">
            <v>Non-Prime</v>
          </cell>
          <cell r="Z182" t="str">
            <v>Non-Prime</v>
          </cell>
          <cell r="AA182" t="str">
            <v>Non-Prime</v>
          </cell>
          <cell r="AB182" t="str">
            <v>Non-Prime</v>
          </cell>
          <cell r="AC182" t="str">
            <v>Non-Prime</v>
          </cell>
          <cell r="AD182" t="str">
            <v>Non-Prime</v>
          </cell>
          <cell r="AE182" t="str">
            <v>Non-Prime</v>
          </cell>
          <cell r="AF182" t="str">
            <v>Non-Prime</v>
          </cell>
        </row>
        <row r="183">
          <cell r="A183" t="str">
            <v>Pan Eastern Europe</v>
          </cell>
          <cell r="B183" t="str">
            <v>Non-Prime</v>
          </cell>
          <cell r="C183" t="str">
            <v>Non-Prime</v>
          </cell>
          <cell r="D183" t="str">
            <v>Non-Prime</v>
          </cell>
          <cell r="E183" t="str">
            <v>Non-Prime</v>
          </cell>
          <cell r="F183" t="str">
            <v>Non-Prime</v>
          </cell>
          <cell r="G183" t="str">
            <v>Non-Prime</v>
          </cell>
          <cell r="H183" t="str">
            <v>Non-Prime</v>
          </cell>
          <cell r="I183" t="str">
            <v>Non-Prime</v>
          </cell>
          <cell r="J183" t="str">
            <v>Non-Prime</v>
          </cell>
          <cell r="K183" t="str">
            <v>Non-Prime</v>
          </cell>
          <cell r="L183" t="str">
            <v>Non-Prime</v>
          </cell>
          <cell r="M183" t="str">
            <v>Non-Prime</v>
          </cell>
          <cell r="N183" t="str">
            <v>Non-Prime</v>
          </cell>
          <cell r="O183" t="str">
            <v>Non-Prime</v>
          </cell>
          <cell r="P183" t="str">
            <v>Non-Prime</v>
          </cell>
          <cell r="Q183" t="str">
            <v>Non-Prime</v>
          </cell>
          <cell r="R183" t="str">
            <v>Non-Prime</v>
          </cell>
          <cell r="S183" t="str">
            <v>Non-Prime</v>
          </cell>
          <cell r="T183" t="str">
            <v>Non-Prime</v>
          </cell>
          <cell r="U183" t="str">
            <v>Prime</v>
          </cell>
          <cell r="V183" t="str">
            <v>Prime</v>
          </cell>
          <cell r="W183" t="str">
            <v>Prime</v>
          </cell>
          <cell r="X183" t="str">
            <v>Prime</v>
          </cell>
          <cell r="Y183" t="str">
            <v>Non-Prime</v>
          </cell>
          <cell r="Z183" t="str">
            <v>Non-Prime</v>
          </cell>
          <cell r="AA183" t="str">
            <v>Non-Prime</v>
          </cell>
          <cell r="AB183" t="str">
            <v>Non-Prime</v>
          </cell>
          <cell r="AC183" t="str">
            <v>Non-Prime</v>
          </cell>
          <cell r="AD183" t="str">
            <v>Non-Prime</v>
          </cell>
          <cell r="AE183" t="str">
            <v>Non-Prime</v>
          </cell>
          <cell r="AF183" t="str">
            <v>Non-Prime</v>
          </cell>
        </row>
        <row r="184">
          <cell r="A184" t="str">
            <v>Pan Europe</v>
          </cell>
          <cell r="B184" t="str">
            <v>Non-Prime</v>
          </cell>
          <cell r="C184" t="str">
            <v>Non-Prime</v>
          </cell>
          <cell r="D184" t="str">
            <v>Non-Prime</v>
          </cell>
          <cell r="E184" t="str">
            <v>Non-Prime</v>
          </cell>
          <cell r="F184" t="str">
            <v>Non-Prime</v>
          </cell>
          <cell r="G184" t="str">
            <v>Non-Prime</v>
          </cell>
          <cell r="H184" t="str">
            <v>Non-Prime</v>
          </cell>
          <cell r="I184" t="str">
            <v>Non-Prime</v>
          </cell>
          <cell r="J184" t="str">
            <v>Non-Prime</v>
          </cell>
          <cell r="K184" t="str">
            <v>Non-Prime</v>
          </cell>
          <cell r="L184" t="str">
            <v>Non-Prime</v>
          </cell>
          <cell r="M184" t="str">
            <v>Non-Prime</v>
          </cell>
          <cell r="N184" t="str">
            <v>Non-Prime</v>
          </cell>
          <cell r="O184" t="str">
            <v>Non-Prime</v>
          </cell>
          <cell r="P184" t="str">
            <v>Non-Prime</v>
          </cell>
          <cell r="Q184" t="str">
            <v>Non-Prime</v>
          </cell>
          <cell r="R184" t="str">
            <v>Non-Prime</v>
          </cell>
          <cell r="S184" t="str">
            <v>Non-Prime</v>
          </cell>
          <cell r="T184" t="str">
            <v>Non-Prime</v>
          </cell>
          <cell r="U184" t="str">
            <v>Prime</v>
          </cell>
          <cell r="V184" t="str">
            <v>Prime</v>
          </cell>
          <cell r="W184" t="str">
            <v>Prime</v>
          </cell>
          <cell r="X184" t="str">
            <v>Prime</v>
          </cell>
          <cell r="Y184" t="str">
            <v>Non-Prime</v>
          </cell>
          <cell r="Z184" t="str">
            <v>Non-Prime</v>
          </cell>
          <cell r="AA184" t="str">
            <v>Non-Prime</v>
          </cell>
          <cell r="AB184" t="str">
            <v>Non-Prime</v>
          </cell>
          <cell r="AC184" t="str">
            <v>Non-Prime</v>
          </cell>
          <cell r="AD184" t="str">
            <v>Non-Prime</v>
          </cell>
          <cell r="AE184" t="str">
            <v>Non-Prime</v>
          </cell>
          <cell r="AF184" t="str">
            <v>Non-Prime</v>
          </cell>
        </row>
        <row r="185">
          <cell r="A185" t="str">
            <v>Pan Europe (Balcans)</v>
          </cell>
          <cell r="B185" t="str">
            <v>Non-Prime</v>
          </cell>
          <cell r="C185" t="str">
            <v>Non-Prime</v>
          </cell>
          <cell r="D185" t="str">
            <v>Non-Prime</v>
          </cell>
          <cell r="E185" t="str">
            <v>Non-Prime</v>
          </cell>
          <cell r="F185" t="str">
            <v>Non-Prime</v>
          </cell>
          <cell r="G185" t="str">
            <v>Non-Prime</v>
          </cell>
          <cell r="H185" t="str">
            <v>Non-Prime</v>
          </cell>
          <cell r="I185" t="str">
            <v>Non-Prime</v>
          </cell>
          <cell r="J185" t="str">
            <v>Non-Prime</v>
          </cell>
          <cell r="K185" t="str">
            <v>Non-Prime</v>
          </cell>
          <cell r="L185" t="str">
            <v>Non-Prime</v>
          </cell>
          <cell r="M185" t="str">
            <v>Non-Prime</v>
          </cell>
          <cell r="N185" t="str">
            <v>Non-Prime</v>
          </cell>
          <cell r="O185" t="str">
            <v>Non-Prime</v>
          </cell>
          <cell r="P185" t="str">
            <v>Non-Prime</v>
          </cell>
          <cell r="Q185" t="str">
            <v>Non-Prime</v>
          </cell>
          <cell r="R185" t="str">
            <v>Non-Prime</v>
          </cell>
          <cell r="S185" t="str">
            <v>Non-Prime</v>
          </cell>
          <cell r="T185" t="str">
            <v>Non-Prime</v>
          </cell>
          <cell r="U185" t="str">
            <v>Prime</v>
          </cell>
          <cell r="V185" t="str">
            <v>Prime</v>
          </cell>
          <cell r="W185" t="str">
            <v>Prime</v>
          </cell>
          <cell r="X185" t="str">
            <v>Prime</v>
          </cell>
          <cell r="Y185" t="str">
            <v>Non-Prime</v>
          </cell>
          <cell r="Z185" t="str">
            <v>Non-Prime</v>
          </cell>
          <cell r="AA185" t="str">
            <v>Non-Prime</v>
          </cell>
          <cell r="AB185" t="str">
            <v>Non-Prime</v>
          </cell>
          <cell r="AC185" t="str">
            <v>Non-Prime</v>
          </cell>
          <cell r="AD185" t="str">
            <v>Non-Prime</v>
          </cell>
          <cell r="AE185" t="str">
            <v>Non-Prime</v>
          </cell>
          <cell r="AF185" t="str">
            <v>Non-Prime</v>
          </cell>
        </row>
        <row r="186">
          <cell r="A186" t="str">
            <v>Pan Europe (Scandinanvia)</v>
          </cell>
          <cell r="B186" t="str">
            <v>Non-Prime</v>
          </cell>
          <cell r="C186" t="str">
            <v>Non-Prime</v>
          </cell>
          <cell r="D186" t="str">
            <v>Non-Prime</v>
          </cell>
          <cell r="E186" t="str">
            <v>Non-Prime</v>
          </cell>
          <cell r="F186" t="str">
            <v>Non-Prime</v>
          </cell>
          <cell r="G186" t="str">
            <v>Non-Prime</v>
          </cell>
          <cell r="H186" t="str">
            <v>Non-Prime</v>
          </cell>
          <cell r="I186" t="str">
            <v>Non-Prime</v>
          </cell>
          <cell r="J186" t="str">
            <v>Non-Prime</v>
          </cell>
          <cell r="K186" t="str">
            <v>Non-Prime</v>
          </cell>
          <cell r="L186" t="str">
            <v>Non-Prime</v>
          </cell>
          <cell r="M186" t="str">
            <v>Non-Prime</v>
          </cell>
          <cell r="N186" t="str">
            <v>Non-Prime</v>
          </cell>
          <cell r="O186" t="str">
            <v>Non-Prime</v>
          </cell>
          <cell r="P186" t="str">
            <v>Non-Prime</v>
          </cell>
          <cell r="Q186" t="str">
            <v>Non-Prime</v>
          </cell>
          <cell r="R186" t="str">
            <v>Non-Prime</v>
          </cell>
          <cell r="S186" t="str">
            <v>Non-Prime</v>
          </cell>
          <cell r="T186" t="str">
            <v>Non-Prime</v>
          </cell>
          <cell r="U186" t="str">
            <v>Prime</v>
          </cell>
          <cell r="V186" t="str">
            <v>Prime</v>
          </cell>
          <cell r="W186" t="str">
            <v>Prime</v>
          </cell>
          <cell r="X186" t="str">
            <v>Prime</v>
          </cell>
          <cell r="Y186" t="str">
            <v>Non-Prime</v>
          </cell>
          <cell r="Z186" t="str">
            <v>Non-Prime</v>
          </cell>
          <cell r="AA186" t="str">
            <v>Non-Prime</v>
          </cell>
          <cell r="AB186" t="str">
            <v>Non-Prime</v>
          </cell>
          <cell r="AC186" t="str">
            <v>Non-Prime</v>
          </cell>
          <cell r="AD186" t="str">
            <v>Non-Prime</v>
          </cell>
          <cell r="AE186" t="str">
            <v>Non-Prime</v>
          </cell>
          <cell r="AF186" t="str">
            <v>Non-Prime</v>
          </cell>
        </row>
        <row r="187">
          <cell r="A187" t="str">
            <v>Pan Hong Kong</v>
          </cell>
          <cell r="B187" t="str">
            <v>Non-Prime</v>
          </cell>
          <cell r="C187" t="str">
            <v>Non-Prime</v>
          </cell>
          <cell r="D187" t="str">
            <v>Non-Prime</v>
          </cell>
          <cell r="E187" t="str">
            <v>Non-Prime</v>
          </cell>
          <cell r="F187" t="str">
            <v>Non-Prime</v>
          </cell>
          <cell r="G187" t="str">
            <v>Non-Prime</v>
          </cell>
          <cell r="H187" t="str">
            <v>Non-Prime</v>
          </cell>
          <cell r="I187" t="str">
            <v>Non-Prime</v>
          </cell>
          <cell r="J187" t="str">
            <v>Non-Prime</v>
          </cell>
          <cell r="K187" t="str">
            <v>Non-Prime</v>
          </cell>
          <cell r="L187" t="str">
            <v>Non-Prime</v>
          </cell>
          <cell r="M187" t="str">
            <v>Non-Prime</v>
          </cell>
          <cell r="N187" t="str">
            <v>Non-Prime</v>
          </cell>
          <cell r="O187" t="str">
            <v>Non-Prime</v>
          </cell>
          <cell r="P187" t="str">
            <v>Non-Prime</v>
          </cell>
          <cell r="Q187" t="str">
            <v>Non-Prime</v>
          </cell>
          <cell r="R187" t="str">
            <v>Non-Prime</v>
          </cell>
          <cell r="S187" t="str">
            <v>Non-Prime</v>
          </cell>
          <cell r="T187" t="str">
            <v>Non-Prime</v>
          </cell>
          <cell r="U187" t="str">
            <v>Prime</v>
          </cell>
          <cell r="V187" t="str">
            <v>Prime</v>
          </cell>
          <cell r="W187" t="str">
            <v>Prime</v>
          </cell>
          <cell r="X187" t="str">
            <v>Non-Prime</v>
          </cell>
          <cell r="Y187" t="str">
            <v>Non-Prime</v>
          </cell>
          <cell r="Z187" t="str">
            <v>Non-Prime</v>
          </cell>
          <cell r="AA187" t="str">
            <v>Non-Prime</v>
          </cell>
          <cell r="AB187" t="str">
            <v>Non-Prime</v>
          </cell>
          <cell r="AC187" t="str">
            <v>Non-Prime</v>
          </cell>
          <cell r="AD187" t="str">
            <v>Non-Prime</v>
          </cell>
          <cell r="AE187" t="str">
            <v>Non-Prime</v>
          </cell>
          <cell r="AF187" t="str">
            <v>Non-Prime</v>
          </cell>
        </row>
        <row r="188">
          <cell r="A188" t="str">
            <v>Pan India</v>
          </cell>
          <cell r="B188" t="str">
            <v>Non-Prime</v>
          </cell>
          <cell r="C188" t="str">
            <v>Non-Prime</v>
          </cell>
          <cell r="D188" t="str">
            <v>Non-Prime</v>
          </cell>
          <cell r="E188" t="str">
            <v>Non-Prime</v>
          </cell>
          <cell r="F188" t="str">
            <v>Non-Prime</v>
          </cell>
          <cell r="G188" t="str">
            <v>Non-Prime</v>
          </cell>
          <cell r="H188" t="str">
            <v>Non-Prime</v>
          </cell>
          <cell r="I188" t="str">
            <v>Non-Prime</v>
          </cell>
          <cell r="J188" t="str">
            <v>Non-Prime</v>
          </cell>
          <cell r="K188" t="str">
            <v>Non-Prime</v>
          </cell>
          <cell r="L188" t="str">
            <v>Non-Prime</v>
          </cell>
          <cell r="M188" t="str">
            <v>Non-Prime</v>
          </cell>
          <cell r="N188" t="str">
            <v>Non-Prime</v>
          </cell>
          <cell r="O188" t="str">
            <v>Non-Prime</v>
          </cell>
          <cell r="P188" t="str">
            <v>Non-Prime</v>
          </cell>
          <cell r="Q188" t="str">
            <v>Non-Prime</v>
          </cell>
          <cell r="R188" t="str">
            <v>Non-Prime</v>
          </cell>
          <cell r="S188" t="str">
            <v>Non-Prime</v>
          </cell>
          <cell r="T188" t="str">
            <v>Prime</v>
          </cell>
          <cell r="U188" t="str">
            <v>Prime</v>
          </cell>
          <cell r="V188" t="str">
            <v>Prime</v>
          </cell>
          <cell r="W188" t="str">
            <v>Prime</v>
          </cell>
          <cell r="X188" t="str">
            <v>Prime</v>
          </cell>
          <cell r="Y188" t="str">
            <v>Prime</v>
          </cell>
          <cell r="Z188" t="str">
            <v>Non-Prime</v>
          </cell>
          <cell r="AA188" t="str">
            <v>Non-Prime</v>
          </cell>
          <cell r="AB188" t="str">
            <v>Non-Prime</v>
          </cell>
          <cell r="AC188" t="str">
            <v>Non-Prime</v>
          </cell>
          <cell r="AD188" t="str">
            <v>Non-Prime</v>
          </cell>
          <cell r="AE188" t="str">
            <v>Non-Prime</v>
          </cell>
          <cell r="AF188" t="str">
            <v>Non-Prime</v>
          </cell>
        </row>
        <row r="189">
          <cell r="A189" t="str">
            <v>Pan India (HD)</v>
          </cell>
          <cell r="B189" t="str">
            <v>Non-Prime</v>
          </cell>
          <cell r="C189" t="str">
            <v>Non-Prime</v>
          </cell>
          <cell r="D189" t="str">
            <v>Non-Prime</v>
          </cell>
          <cell r="E189" t="str">
            <v>Non-Prime</v>
          </cell>
          <cell r="F189" t="str">
            <v>Non-Prime</v>
          </cell>
          <cell r="G189" t="str">
            <v>Non-Prime</v>
          </cell>
          <cell r="H189" t="str">
            <v>Non-Prime</v>
          </cell>
          <cell r="I189" t="str">
            <v>Non-Prime</v>
          </cell>
          <cell r="J189" t="str">
            <v>Non-Prime</v>
          </cell>
          <cell r="K189" t="str">
            <v>Non-Prime</v>
          </cell>
          <cell r="L189" t="str">
            <v>Non-Prime</v>
          </cell>
          <cell r="M189" t="str">
            <v>Non-Prime</v>
          </cell>
          <cell r="N189" t="str">
            <v>Non-Prime</v>
          </cell>
          <cell r="O189" t="str">
            <v>Non-Prime</v>
          </cell>
          <cell r="P189" t="str">
            <v>Non-Prime</v>
          </cell>
          <cell r="Q189" t="str">
            <v>Non-Prime</v>
          </cell>
          <cell r="R189" t="str">
            <v>Non-Prime</v>
          </cell>
          <cell r="S189" t="str">
            <v>Non-Prime</v>
          </cell>
          <cell r="T189" t="str">
            <v>Prime</v>
          </cell>
          <cell r="U189" t="str">
            <v>Prime</v>
          </cell>
          <cell r="V189" t="str">
            <v>Prime</v>
          </cell>
          <cell r="W189" t="str">
            <v>Prime</v>
          </cell>
          <cell r="X189" t="str">
            <v>Prime</v>
          </cell>
          <cell r="Y189" t="str">
            <v>Prime</v>
          </cell>
          <cell r="Z189" t="str">
            <v>Non-Prime</v>
          </cell>
          <cell r="AA189" t="str">
            <v>Non-Prime</v>
          </cell>
          <cell r="AB189" t="str">
            <v>Non-Prime</v>
          </cell>
          <cell r="AC189" t="str">
            <v>Non-Prime</v>
          </cell>
          <cell r="AD189" t="str">
            <v>Non-Prime</v>
          </cell>
          <cell r="AE189" t="str">
            <v>Non-Prime</v>
          </cell>
          <cell r="AF189" t="str">
            <v>Non-Prime</v>
          </cell>
        </row>
        <row r="190">
          <cell r="A190" t="str">
            <v>Pan Indonesia</v>
          </cell>
          <cell r="B190" t="str">
            <v>Non-Prime</v>
          </cell>
          <cell r="C190" t="str">
            <v>Non-Prime</v>
          </cell>
          <cell r="D190" t="str">
            <v>Non-Prime</v>
          </cell>
          <cell r="E190" t="str">
            <v>Non-Prime</v>
          </cell>
          <cell r="F190" t="str">
            <v>Non-Prime</v>
          </cell>
          <cell r="G190" t="str">
            <v>Non-Prime</v>
          </cell>
          <cell r="H190" t="str">
            <v>Non-Prime</v>
          </cell>
          <cell r="I190" t="str">
            <v>Non-Prime</v>
          </cell>
          <cell r="J190" t="str">
            <v>Non-Prime</v>
          </cell>
          <cell r="K190" t="str">
            <v>Non-Prime</v>
          </cell>
          <cell r="L190" t="str">
            <v>Non-Prime</v>
          </cell>
          <cell r="M190" t="str">
            <v>Non-Prime</v>
          </cell>
          <cell r="N190" t="str">
            <v>Non-Prime</v>
          </cell>
          <cell r="O190" t="str">
            <v>Non-Prime</v>
          </cell>
          <cell r="P190" t="str">
            <v>Non-Prime</v>
          </cell>
          <cell r="Q190" t="str">
            <v>Non-Prime</v>
          </cell>
          <cell r="R190" t="str">
            <v>Non-Prime</v>
          </cell>
          <cell r="S190" t="str">
            <v>Non-Prime</v>
          </cell>
          <cell r="T190" t="str">
            <v>Prime</v>
          </cell>
          <cell r="U190" t="str">
            <v>Prime</v>
          </cell>
          <cell r="V190" t="str">
            <v>Prime</v>
          </cell>
          <cell r="W190" t="str">
            <v>Prime</v>
          </cell>
          <cell r="X190" t="str">
            <v>Prime</v>
          </cell>
          <cell r="Y190" t="str">
            <v>Prime</v>
          </cell>
          <cell r="Z190" t="str">
            <v>Non-Prime</v>
          </cell>
          <cell r="AA190" t="str">
            <v>Non-Prime</v>
          </cell>
          <cell r="AB190" t="str">
            <v>Non-Prime</v>
          </cell>
          <cell r="AC190" t="str">
            <v>Non-Prime</v>
          </cell>
          <cell r="AD190" t="str">
            <v>Non-Prime</v>
          </cell>
          <cell r="AE190" t="str">
            <v>Non-Prime</v>
          </cell>
          <cell r="AF190" t="str">
            <v>Non-Prime</v>
          </cell>
        </row>
        <row r="191">
          <cell r="A191" t="str">
            <v>Pan Italy</v>
          </cell>
          <cell r="B191" t="str">
            <v>Non-Prime</v>
          </cell>
          <cell r="C191" t="str">
            <v>Non-Prime</v>
          </cell>
          <cell r="D191" t="str">
            <v>Non-Prime</v>
          </cell>
          <cell r="E191" t="str">
            <v>Non-Prime</v>
          </cell>
          <cell r="F191" t="str">
            <v>Non-Prime</v>
          </cell>
          <cell r="G191" t="str">
            <v>Non-Prime</v>
          </cell>
          <cell r="H191" t="str">
            <v>Non-Prime</v>
          </cell>
          <cell r="I191" t="str">
            <v>Non-Prime</v>
          </cell>
          <cell r="J191" t="str">
            <v>Non-Prime</v>
          </cell>
          <cell r="K191" t="str">
            <v>Non-Prime</v>
          </cell>
          <cell r="L191" t="str">
            <v>Non-Prime</v>
          </cell>
          <cell r="M191" t="str">
            <v>Non-Prime</v>
          </cell>
          <cell r="N191" t="str">
            <v>Non-Prime</v>
          </cell>
          <cell r="O191" t="str">
            <v>Non-Prime</v>
          </cell>
          <cell r="P191" t="str">
            <v>Non-Prime</v>
          </cell>
          <cell r="Q191" t="str">
            <v>Non-Prime</v>
          </cell>
          <cell r="R191" t="str">
            <v>Non-Prime</v>
          </cell>
          <cell r="S191" t="str">
            <v>Non-Prime</v>
          </cell>
          <cell r="T191" t="str">
            <v>Prime</v>
          </cell>
          <cell r="U191" t="str">
            <v>Prime</v>
          </cell>
          <cell r="V191" t="str">
            <v>Prime</v>
          </cell>
          <cell r="W191" t="str">
            <v>Prime</v>
          </cell>
          <cell r="X191" t="str">
            <v>Prime</v>
          </cell>
          <cell r="Y191" t="str">
            <v>Prime</v>
          </cell>
          <cell r="Z191" t="str">
            <v>Non-Prime</v>
          </cell>
          <cell r="AA191" t="str">
            <v>Non-Prime</v>
          </cell>
          <cell r="AB191" t="str">
            <v>Non-Prime</v>
          </cell>
          <cell r="AC191" t="str">
            <v>Non-Prime</v>
          </cell>
          <cell r="AD191" t="str">
            <v>Non-Prime</v>
          </cell>
          <cell r="AE191" t="str">
            <v>Non-Prime</v>
          </cell>
          <cell r="AF191" t="str">
            <v>Non-Prime</v>
          </cell>
        </row>
        <row r="192">
          <cell r="A192" t="str">
            <v>Pan Latin America</v>
          </cell>
          <cell r="B192" t="str">
            <v>Non-Prime</v>
          </cell>
          <cell r="C192" t="str">
            <v>Non-Prime</v>
          </cell>
          <cell r="D192" t="str">
            <v>Non-Prime</v>
          </cell>
          <cell r="E192" t="str">
            <v>Non-Prime</v>
          </cell>
          <cell r="F192" t="str">
            <v>Non-Prime</v>
          </cell>
          <cell r="G192" t="str">
            <v>Non-Prime</v>
          </cell>
          <cell r="H192" t="str">
            <v>Non-Prime</v>
          </cell>
          <cell r="I192" t="str">
            <v>Non-Prime</v>
          </cell>
          <cell r="J192" t="str">
            <v>Non-Prime</v>
          </cell>
          <cell r="K192" t="str">
            <v>Non-Prime</v>
          </cell>
          <cell r="L192" t="str">
            <v>Non-Prime</v>
          </cell>
          <cell r="M192" t="str">
            <v>Non-Prime</v>
          </cell>
          <cell r="N192" t="str">
            <v>Non-Prime</v>
          </cell>
          <cell r="O192" t="str">
            <v>Non-Prime</v>
          </cell>
          <cell r="P192" t="str">
            <v>Non-Prime</v>
          </cell>
          <cell r="Q192" t="str">
            <v>Non-Prime</v>
          </cell>
          <cell r="R192" t="str">
            <v>Non-Prime</v>
          </cell>
          <cell r="S192" t="str">
            <v>Non-Prime</v>
          </cell>
          <cell r="T192" t="str">
            <v>Non-Prime</v>
          </cell>
          <cell r="U192" t="str">
            <v>Non-Prime</v>
          </cell>
          <cell r="V192" t="str">
            <v>Prime</v>
          </cell>
          <cell r="W192" t="str">
            <v>Prime</v>
          </cell>
          <cell r="X192" t="str">
            <v>Prime</v>
          </cell>
          <cell r="Y192" t="str">
            <v>Prime</v>
          </cell>
          <cell r="Z192" t="str">
            <v>Non-Prime</v>
          </cell>
          <cell r="AA192" t="str">
            <v>Non-Prime</v>
          </cell>
          <cell r="AB192" t="str">
            <v>Non-Prime</v>
          </cell>
          <cell r="AC192" t="str">
            <v>Non-Prime</v>
          </cell>
          <cell r="AD192" t="str">
            <v>Non-Prime</v>
          </cell>
          <cell r="AE192" t="str">
            <v>Non-Prime</v>
          </cell>
          <cell r="AF192" t="str">
            <v>Non-Prime</v>
          </cell>
        </row>
        <row r="193">
          <cell r="A193" t="str">
            <v>Pan Latin America Andina</v>
          </cell>
          <cell r="B193" t="str">
            <v>Non-Prime</v>
          </cell>
          <cell r="C193" t="str">
            <v>Non-Prime</v>
          </cell>
          <cell r="D193" t="str">
            <v>Non-Prime</v>
          </cell>
          <cell r="E193" t="str">
            <v>Non-Prime</v>
          </cell>
          <cell r="F193" t="str">
            <v>Non-Prime</v>
          </cell>
          <cell r="G193" t="str">
            <v>Non-Prime</v>
          </cell>
          <cell r="H193" t="str">
            <v>Non-Prime</v>
          </cell>
          <cell r="I193" t="str">
            <v>Non-Prime</v>
          </cell>
          <cell r="J193" t="str">
            <v>Non-Prime</v>
          </cell>
          <cell r="K193" t="str">
            <v>Non-Prime</v>
          </cell>
          <cell r="L193" t="str">
            <v>Non-Prime</v>
          </cell>
          <cell r="M193" t="str">
            <v>Non-Prime</v>
          </cell>
          <cell r="N193" t="str">
            <v>Non-Prime</v>
          </cell>
          <cell r="O193" t="str">
            <v>Non-Prime</v>
          </cell>
          <cell r="P193" t="str">
            <v>Non-Prime</v>
          </cell>
          <cell r="Q193" t="str">
            <v>Non-Prime</v>
          </cell>
          <cell r="R193" t="str">
            <v>Non-Prime</v>
          </cell>
          <cell r="S193" t="str">
            <v>Non-Prime</v>
          </cell>
          <cell r="T193" t="str">
            <v>Non-Prime</v>
          </cell>
          <cell r="U193" t="str">
            <v>Non-Prime</v>
          </cell>
          <cell r="V193" t="str">
            <v>Prime</v>
          </cell>
          <cell r="W193" t="str">
            <v>Prime</v>
          </cell>
          <cell r="X193" t="str">
            <v>Prime</v>
          </cell>
          <cell r="Y193" t="str">
            <v>Prime</v>
          </cell>
          <cell r="Z193" t="str">
            <v>Non-Prime</v>
          </cell>
          <cell r="AA193" t="str">
            <v>Non-Prime</v>
          </cell>
          <cell r="AB193" t="str">
            <v>Non-Prime</v>
          </cell>
          <cell r="AC193" t="str">
            <v>Non-Prime</v>
          </cell>
          <cell r="AD193" t="str">
            <v>Non-Prime</v>
          </cell>
          <cell r="AE193" t="str">
            <v>Non-Prime</v>
          </cell>
          <cell r="AF193" t="str">
            <v>Non-Prime</v>
          </cell>
        </row>
        <row r="194">
          <cell r="A194" t="str">
            <v>Pan Latin America South</v>
          </cell>
          <cell r="B194" t="str">
            <v>Non-Prime</v>
          </cell>
          <cell r="C194" t="str">
            <v>Non-Prime</v>
          </cell>
          <cell r="D194" t="str">
            <v>Non-Prime</v>
          </cell>
          <cell r="E194" t="str">
            <v>Non-Prime</v>
          </cell>
          <cell r="F194" t="str">
            <v>Non-Prime</v>
          </cell>
          <cell r="G194" t="str">
            <v>Non-Prime</v>
          </cell>
          <cell r="H194" t="str">
            <v>Non-Prime</v>
          </cell>
          <cell r="I194" t="str">
            <v>Non-Prime</v>
          </cell>
          <cell r="J194" t="str">
            <v>Non-Prime</v>
          </cell>
          <cell r="K194" t="str">
            <v>Non-Prime</v>
          </cell>
          <cell r="L194" t="str">
            <v>Non-Prime</v>
          </cell>
          <cell r="M194" t="str">
            <v>Non-Prime</v>
          </cell>
          <cell r="N194" t="str">
            <v>Non-Prime</v>
          </cell>
          <cell r="O194" t="str">
            <v>Non-Prime</v>
          </cell>
          <cell r="P194" t="str">
            <v>Non-Prime</v>
          </cell>
          <cell r="Q194" t="str">
            <v>Non-Prime</v>
          </cell>
          <cell r="R194" t="str">
            <v>Non-Prime</v>
          </cell>
          <cell r="S194" t="str">
            <v>Non-Prime</v>
          </cell>
          <cell r="T194" t="str">
            <v>Non-Prime</v>
          </cell>
          <cell r="U194" t="str">
            <v>Non-Prime</v>
          </cell>
          <cell r="V194" t="str">
            <v>Prime</v>
          </cell>
          <cell r="W194" t="str">
            <v>Prime</v>
          </cell>
          <cell r="X194" t="str">
            <v>Prime</v>
          </cell>
          <cell r="Y194" t="str">
            <v>Prime</v>
          </cell>
          <cell r="Z194" t="str">
            <v>Non-Prime</v>
          </cell>
          <cell r="AA194" t="str">
            <v>Non-Prime</v>
          </cell>
          <cell r="AB194" t="str">
            <v>Non-Prime</v>
          </cell>
          <cell r="AC194" t="str">
            <v>Non-Prime</v>
          </cell>
          <cell r="AD194" t="str">
            <v>Non-Prime</v>
          </cell>
          <cell r="AE194" t="str">
            <v>Non-Prime</v>
          </cell>
          <cell r="AF194" t="str">
            <v>Non-Prime</v>
          </cell>
        </row>
        <row r="195">
          <cell r="A195" t="str">
            <v>Pan Malaysia</v>
          </cell>
          <cell r="B195" t="str">
            <v>Non-Prime</v>
          </cell>
          <cell r="C195" t="str">
            <v>Non-Prime</v>
          </cell>
          <cell r="D195" t="str">
            <v>Non-Prime</v>
          </cell>
          <cell r="E195" t="str">
            <v>Non-Prime</v>
          </cell>
          <cell r="F195" t="str">
            <v>Non-Prime</v>
          </cell>
          <cell r="G195" t="str">
            <v>Non-Prime</v>
          </cell>
          <cell r="H195" t="str">
            <v>Non-Prime</v>
          </cell>
          <cell r="I195" t="str">
            <v>Non-Prime</v>
          </cell>
          <cell r="J195" t="str">
            <v>Non-Prime</v>
          </cell>
          <cell r="K195" t="str">
            <v>Non-Prime</v>
          </cell>
          <cell r="L195" t="str">
            <v>Non-Prime</v>
          </cell>
          <cell r="M195" t="str">
            <v>Non-Prime</v>
          </cell>
          <cell r="N195" t="str">
            <v>Non-Prime</v>
          </cell>
          <cell r="O195" t="str">
            <v>Non-Prime</v>
          </cell>
          <cell r="P195" t="str">
            <v>Non-Prime</v>
          </cell>
          <cell r="Q195" t="str">
            <v>Non-Prime</v>
          </cell>
          <cell r="R195" t="str">
            <v>Non-Prime</v>
          </cell>
          <cell r="S195" t="str">
            <v>Non-Prime</v>
          </cell>
          <cell r="T195" t="str">
            <v>Non-Prime</v>
          </cell>
          <cell r="U195" t="str">
            <v>Non-Prime</v>
          </cell>
          <cell r="V195" t="str">
            <v>Prime</v>
          </cell>
          <cell r="W195" t="str">
            <v>Prime</v>
          </cell>
          <cell r="X195" t="str">
            <v>Prime</v>
          </cell>
          <cell r="Y195" t="str">
            <v>Prime</v>
          </cell>
          <cell r="Z195" t="str">
            <v>Non-Prime</v>
          </cell>
          <cell r="AA195" t="str">
            <v>Non-Prime</v>
          </cell>
          <cell r="AB195" t="str">
            <v>Non-Prime</v>
          </cell>
          <cell r="AC195" t="str">
            <v>Non-Prime</v>
          </cell>
          <cell r="AD195" t="str">
            <v>Non-Prime</v>
          </cell>
          <cell r="AE195" t="str">
            <v>Non-Prime</v>
          </cell>
          <cell r="AF195" t="str">
            <v>Non-Prime</v>
          </cell>
        </row>
        <row r="196">
          <cell r="A196" t="str">
            <v>Pan Middle East</v>
          </cell>
          <cell r="B196" t="str">
            <v>Non-Prime</v>
          </cell>
          <cell r="C196" t="str">
            <v>Non-Prime</v>
          </cell>
          <cell r="D196" t="str">
            <v>Non-Prime</v>
          </cell>
          <cell r="E196" t="str">
            <v>Non-Prime</v>
          </cell>
          <cell r="F196" t="str">
            <v>Non-Prime</v>
          </cell>
          <cell r="G196" t="str">
            <v>Non-Prime</v>
          </cell>
          <cell r="H196" t="str">
            <v>Non-Prime</v>
          </cell>
          <cell r="I196" t="str">
            <v>Non-Prime</v>
          </cell>
          <cell r="J196" t="str">
            <v>Non-Prime</v>
          </cell>
          <cell r="K196" t="str">
            <v>Non-Prime</v>
          </cell>
          <cell r="L196" t="str">
            <v>Non-Prime</v>
          </cell>
          <cell r="M196" t="str">
            <v>Non-Prime</v>
          </cell>
          <cell r="N196" t="str">
            <v>Non-Prime</v>
          </cell>
          <cell r="O196" t="str">
            <v>Non-Prime</v>
          </cell>
          <cell r="P196" t="str">
            <v>Non-Prime</v>
          </cell>
          <cell r="Q196" t="str">
            <v>Non-Prime</v>
          </cell>
          <cell r="R196" t="str">
            <v>Non-Prime</v>
          </cell>
          <cell r="S196" t="str">
            <v>Non-Prime</v>
          </cell>
          <cell r="T196" t="str">
            <v>Non-Prime</v>
          </cell>
          <cell r="U196" t="str">
            <v>Non-Prime</v>
          </cell>
          <cell r="V196" t="str">
            <v>Prime</v>
          </cell>
          <cell r="W196" t="str">
            <v>Prime</v>
          </cell>
          <cell r="X196" t="str">
            <v>Prime</v>
          </cell>
          <cell r="Y196" t="str">
            <v>Prime</v>
          </cell>
          <cell r="Z196" t="str">
            <v>Non-Prime</v>
          </cell>
          <cell r="AA196" t="str">
            <v>Non-Prime</v>
          </cell>
          <cell r="AB196" t="str">
            <v>Non-Prime</v>
          </cell>
          <cell r="AC196" t="str">
            <v>Non-Prime</v>
          </cell>
          <cell r="AD196" t="str">
            <v>Non-Prime</v>
          </cell>
          <cell r="AE196" t="str">
            <v>Non-Prime</v>
          </cell>
          <cell r="AF196" t="str">
            <v>Non-Prime</v>
          </cell>
        </row>
        <row r="197">
          <cell r="A197" t="str">
            <v>Pan Pacific</v>
          </cell>
          <cell r="B197" t="str">
            <v>Non-Prime</v>
          </cell>
          <cell r="C197" t="str">
            <v>Non-Prime</v>
          </cell>
          <cell r="D197" t="str">
            <v>Non-Prime</v>
          </cell>
          <cell r="E197" t="str">
            <v>Non-Prime</v>
          </cell>
          <cell r="F197" t="str">
            <v>Non-Prime</v>
          </cell>
          <cell r="G197" t="str">
            <v>Non-Prime</v>
          </cell>
          <cell r="H197" t="str">
            <v>Non-Prime</v>
          </cell>
          <cell r="I197" t="str">
            <v>Non-Prime</v>
          </cell>
          <cell r="J197" t="str">
            <v>Non-Prime</v>
          </cell>
          <cell r="K197" t="str">
            <v>Non-Prime</v>
          </cell>
          <cell r="L197" t="str">
            <v>Non-Prime</v>
          </cell>
          <cell r="M197" t="str">
            <v>Non-Prime</v>
          </cell>
          <cell r="N197" t="str">
            <v>Non-Prime</v>
          </cell>
          <cell r="O197" t="str">
            <v>Non-Prime</v>
          </cell>
          <cell r="P197" t="str">
            <v>Non-Prime</v>
          </cell>
          <cell r="Q197" t="str">
            <v>Non-Prime</v>
          </cell>
          <cell r="R197" t="str">
            <v>Non-Prime</v>
          </cell>
          <cell r="S197" t="str">
            <v>Non-Prime</v>
          </cell>
          <cell r="T197" t="str">
            <v>Prime</v>
          </cell>
          <cell r="U197" t="str">
            <v>Prime</v>
          </cell>
          <cell r="V197" t="str">
            <v>Prime</v>
          </cell>
          <cell r="W197" t="str">
            <v>Prime</v>
          </cell>
          <cell r="X197" t="str">
            <v>Prime</v>
          </cell>
          <cell r="Y197" t="str">
            <v>Prime</v>
          </cell>
          <cell r="Z197" t="str">
            <v>Non-Prime</v>
          </cell>
          <cell r="AA197" t="str">
            <v>Non-Prime</v>
          </cell>
          <cell r="AB197" t="str">
            <v>Non-Prime</v>
          </cell>
          <cell r="AC197" t="str">
            <v>Non-Prime</v>
          </cell>
          <cell r="AD197" t="str">
            <v>Non-Prime</v>
          </cell>
          <cell r="AE197" t="str">
            <v>Non-Prime</v>
          </cell>
          <cell r="AF197" t="str">
            <v>Non-Prime</v>
          </cell>
        </row>
        <row r="198">
          <cell r="A198" t="str">
            <v>Pan Pakistan</v>
          </cell>
          <cell r="B198" t="str">
            <v>Non-Prime</v>
          </cell>
          <cell r="C198" t="str">
            <v>Non-Prime</v>
          </cell>
          <cell r="D198" t="str">
            <v>Non-Prime</v>
          </cell>
          <cell r="E198" t="str">
            <v>Non-Prime</v>
          </cell>
          <cell r="F198" t="str">
            <v>Non-Prime</v>
          </cell>
          <cell r="G198" t="str">
            <v>Non-Prime</v>
          </cell>
          <cell r="H198" t="str">
            <v>Non-Prime</v>
          </cell>
          <cell r="I198" t="str">
            <v>Non-Prime</v>
          </cell>
          <cell r="J198" t="str">
            <v>Non-Prime</v>
          </cell>
          <cell r="K198" t="str">
            <v>Non-Prime</v>
          </cell>
          <cell r="L198" t="str">
            <v>Non-Prime</v>
          </cell>
          <cell r="M198" t="str">
            <v>Non-Prime</v>
          </cell>
          <cell r="N198" t="str">
            <v>Non-Prime</v>
          </cell>
          <cell r="O198" t="str">
            <v>Non-Prime</v>
          </cell>
          <cell r="P198" t="str">
            <v>Non-Prime</v>
          </cell>
          <cell r="Q198" t="str">
            <v>Non-Prime</v>
          </cell>
          <cell r="R198" t="str">
            <v>Non-Prime</v>
          </cell>
          <cell r="S198" t="str">
            <v>Non-Prime</v>
          </cell>
          <cell r="T198" t="str">
            <v>Non-Prime</v>
          </cell>
          <cell r="U198" t="str">
            <v>Prime</v>
          </cell>
          <cell r="V198" t="str">
            <v>Prime</v>
          </cell>
          <cell r="W198" t="str">
            <v>Prime</v>
          </cell>
          <cell r="X198" t="str">
            <v>Non-Prime</v>
          </cell>
          <cell r="Y198" t="str">
            <v>Non-Prime</v>
          </cell>
          <cell r="Z198" t="str">
            <v>Non-Prime</v>
          </cell>
          <cell r="AA198" t="str">
            <v>Non-Prime</v>
          </cell>
          <cell r="AB198" t="str">
            <v>Non-Prime</v>
          </cell>
          <cell r="AC198" t="str">
            <v>Non-Prime</v>
          </cell>
          <cell r="AD198" t="str">
            <v>Non-Prime</v>
          </cell>
          <cell r="AE198" t="str">
            <v>Non-Prime</v>
          </cell>
          <cell r="AF198" t="str">
            <v>Non-Prime</v>
          </cell>
        </row>
        <row r="199">
          <cell r="A199" t="str">
            <v>Pan Philippines</v>
          </cell>
          <cell r="B199" t="str">
            <v>Non-Prime</v>
          </cell>
          <cell r="C199" t="str">
            <v>Non-Prime</v>
          </cell>
          <cell r="D199" t="str">
            <v>Non-Prime</v>
          </cell>
          <cell r="E199" t="str">
            <v>Non-Prime</v>
          </cell>
          <cell r="F199" t="str">
            <v>Non-Prime</v>
          </cell>
          <cell r="G199" t="str">
            <v>Non-Prime</v>
          </cell>
          <cell r="H199" t="str">
            <v>Non-Prime</v>
          </cell>
          <cell r="I199" t="str">
            <v>Non-Prime</v>
          </cell>
          <cell r="J199" t="str">
            <v>Non-Prime</v>
          </cell>
          <cell r="K199" t="str">
            <v>Non-Prime</v>
          </cell>
          <cell r="L199" t="str">
            <v>Non-Prime</v>
          </cell>
          <cell r="M199" t="str">
            <v>Non-Prime</v>
          </cell>
          <cell r="N199" t="str">
            <v>Non-Prime</v>
          </cell>
          <cell r="O199" t="str">
            <v>Non-Prime</v>
          </cell>
          <cell r="P199" t="str">
            <v>Non-Prime</v>
          </cell>
          <cell r="Q199" t="str">
            <v>Non-Prime</v>
          </cell>
          <cell r="R199" t="str">
            <v>Non-Prime</v>
          </cell>
          <cell r="S199" t="str">
            <v>Non-Prime</v>
          </cell>
          <cell r="T199" t="str">
            <v>Non-Prime</v>
          </cell>
          <cell r="U199" t="str">
            <v>Non-Prime</v>
          </cell>
          <cell r="V199" t="str">
            <v>Prime</v>
          </cell>
          <cell r="W199" t="str">
            <v>Prime</v>
          </cell>
          <cell r="X199" t="str">
            <v>Prime</v>
          </cell>
          <cell r="Y199" t="str">
            <v>Non-Prime</v>
          </cell>
          <cell r="Z199" t="str">
            <v>Non-Prime</v>
          </cell>
          <cell r="AA199" t="str">
            <v>Non-Prime</v>
          </cell>
          <cell r="AB199" t="str">
            <v>Non-Prime</v>
          </cell>
          <cell r="AC199" t="str">
            <v>Non-Prime</v>
          </cell>
          <cell r="AD199" t="str">
            <v>Non-Prime</v>
          </cell>
          <cell r="AE199" t="str">
            <v>Non-Prime</v>
          </cell>
          <cell r="AF199" t="str">
            <v>Non-Prime</v>
          </cell>
        </row>
        <row r="200">
          <cell r="A200" t="str">
            <v>Pan Philippines (Fox)</v>
          </cell>
          <cell r="B200" t="str">
            <v>Non-Prime</v>
          </cell>
          <cell r="C200" t="str">
            <v>Non-Prime</v>
          </cell>
          <cell r="D200" t="str">
            <v>Non-Prime</v>
          </cell>
          <cell r="E200" t="str">
            <v>Non-Prime</v>
          </cell>
          <cell r="F200" t="str">
            <v>Non-Prime</v>
          </cell>
          <cell r="G200" t="str">
            <v>Non-Prime</v>
          </cell>
          <cell r="H200" t="str">
            <v>Non-Prime</v>
          </cell>
          <cell r="I200" t="str">
            <v>Non-Prime</v>
          </cell>
          <cell r="J200" t="str">
            <v>Non-Prime</v>
          </cell>
          <cell r="K200" t="str">
            <v>Non-Prime</v>
          </cell>
          <cell r="L200" t="str">
            <v>Non-Prime</v>
          </cell>
          <cell r="M200" t="str">
            <v>Non-Prime</v>
          </cell>
          <cell r="N200" t="str">
            <v>Non-Prime</v>
          </cell>
          <cell r="O200" t="str">
            <v>Non-Prime</v>
          </cell>
          <cell r="P200" t="str">
            <v>Non-Prime</v>
          </cell>
          <cell r="Q200" t="str">
            <v>Non-Prime</v>
          </cell>
          <cell r="R200" t="str">
            <v>Non-Prime</v>
          </cell>
          <cell r="S200" t="str">
            <v>Non-Prime</v>
          </cell>
          <cell r="T200" t="str">
            <v>Non-Prime</v>
          </cell>
          <cell r="U200" t="str">
            <v>Non-Prime</v>
          </cell>
          <cell r="V200" t="str">
            <v>Prime</v>
          </cell>
          <cell r="W200" t="str">
            <v>Prime</v>
          </cell>
          <cell r="X200" t="str">
            <v>Prime</v>
          </cell>
          <cell r="Y200" t="str">
            <v>Prime</v>
          </cell>
          <cell r="Z200" t="str">
            <v>Non-Prime</v>
          </cell>
          <cell r="AA200" t="str">
            <v>Non-Prime</v>
          </cell>
          <cell r="AB200" t="str">
            <v>Non-Prime</v>
          </cell>
          <cell r="AC200" t="str">
            <v>Non-Prime</v>
          </cell>
          <cell r="AD200" t="str">
            <v>Non-Prime</v>
          </cell>
          <cell r="AE200" t="str">
            <v>Non-Prime</v>
          </cell>
          <cell r="AF200" t="str">
            <v>Non-Prime</v>
          </cell>
        </row>
        <row r="201">
          <cell r="A201" t="str">
            <v>Pan Russia</v>
          </cell>
          <cell r="B201" t="str">
            <v>Non-Prime</v>
          </cell>
          <cell r="C201" t="str">
            <v>Non-Prime</v>
          </cell>
          <cell r="D201" t="str">
            <v>Non-Prime</v>
          </cell>
          <cell r="E201" t="str">
            <v>Non-Prime</v>
          </cell>
          <cell r="F201" t="str">
            <v>Non-Prime</v>
          </cell>
          <cell r="G201" t="str">
            <v>Non-Prime</v>
          </cell>
          <cell r="H201" t="str">
            <v>Non-Prime</v>
          </cell>
          <cell r="I201" t="str">
            <v>Non-Prime</v>
          </cell>
          <cell r="J201" t="str">
            <v>Non-Prime</v>
          </cell>
          <cell r="K201" t="str">
            <v>Non-Prime</v>
          </cell>
          <cell r="L201" t="str">
            <v>Non-Prime</v>
          </cell>
          <cell r="M201" t="str">
            <v>Non-Prime</v>
          </cell>
          <cell r="N201" t="str">
            <v>Non-Prime</v>
          </cell>
          <cell r="O201" t="str">
            <v>Non-Prime</v>
          </cell>
          <cell r="P201" t="str">
            <v>Non-Prime</v>
          </cell>
          <cell r="Q201" t="str">
            <v>Non-Prime</v>
          </cell>
          <cell r="R201" t="str">
            <v>Non-Prime</v>
          </cell>
          <cell r="S201" t="str">
            <v>Non-Prime</v>
          </cell>
          <cell r="T201" t="str">
            <v>Non-Prime</v>
          </cell>
          <cell r="U201" t="str">
            <v>Prime</v>
          </cell>
          <cell r="V201" t="str">
            <v>Prime</v>
          </cell>
          <cell r="W201" t="str">
            <v>Prime</v>
          </cell>
          <cell r="X201" t="str">
            <v>Prime</v>
          </cell>
          <cell r="Y201" t="str">
            <v>Prime</v>
          </cell>
          <cell r="Z201" t="str">
            <v>Non-Prime</v>
          </cell>
          <cell r="AA201" t="str">
            <v>Non-Prime</v>
          </cell>
          <cell r="AB201" t="str">
            <v>Non-Prime</v>
          </cell>
          <cell r="AC201" t="str">
            <v>Non-Prime</v>
          </cell>
          <cell r="AD201" t="str">
            <v>Non-Prime</v>
          </cell>
          <cell r="AE201" t="str">
            <v>Non-Prime</v>
          </cell>
          <cell r="AF201" t="str">
            <v>Non-Prime</v>
          </cell>
        </row>
        <row r="202">
          <cell r="A202" t="str">
            <v>Pan Scandinavia</v>
          </cell>
          <cell r="B202" t="str">
            <v>Non-Prime</v>
          </cell>
          <cell r="C202" t="str">
            <v>Non-Prime</v>
          </cell>
          <cell r="D202" t="str">
            <v>Non-Prime</v>
          </cell>
          <cell r="E202" t="str">
            <v>Non-Prime</v>
          </cell>
          <cell r="F202" t="str">
            <v>Non-Prime</v>
          </cell>
          <cell r="G202" t="str">
            <v>Non-Prime</v>
          </cell>
          <cell r="H202" t="str">
            <v>Non-Prime</v>
          </cell>
          <cell r="I202" t="str">
            <v>Non-Prime</v>
          </cell>
          <cell r="J202" t="str">
            <v>Non-Prime</v>
          </cell>
          <cell r="K202" t="str">
            <v>Non-Prime</v>
          </cell>
          <cell r="L202" t="str">
            <v>Non-Prime</v>
          </cell>
          <cell r="M202" t="str">
            <v>Non-Prime</v>
          </cell>
          <cell r="N202" t="str">
            <v>Non-Prime</v>
          </cell>
          <cell r="O202" t="str">
            <v>Non-Prime</v>
          </cell>
          <cell r="P202" t="str">
            <v>Non-Prime</v>
          </cell>
          <cell r="Q202" t="str">
            <v>Non-Prime</v>
          </cell>
          <cell r="R202" t="str">
            <v>Non-Prime</v>
          </cell>
          <cell r="S202" t="str">
            <v>Non-Prime</v>
          </cell>
          <cell r="T202" t="str">
            <v>Non-Prime</v>
          </cell>
          <cell r="U202" t="str">
            <v>Non-Prime</v>
          </cell>
          <cell r="V202" t="str">
            <v>Prime</v>
          </cell>
          <cell r="W202" t="str">
            <v>Prime</v>
          </cell>
          <cell r="X202" t="str">
            <v>Prime</v>
          </cell>
          <cell r="Y202" t="str">
            <v>Prime</v>
          </cell>
          <cell r="Z202" t="str">
            <v>Non-Prime</v>
          </cell>
          <cell r="AA202" t="str">
            <v>Non-Prime</v>
          </cell>
          <cell r="AB202" t="str">
            <v>Non-Prime</v>
          </cell>
          <cell r="AC202" t="str">
            <v>Non-Prime</v>
          </cell>
          <cell r="AD202" t="str">
            <v>Non-Prime</v>
          </cell>
          <cell r="AE202" t="str">
            <v>Non-Prime</v>
          </cell>
          <cell r="AF202" t="str">
            <v>Non-Prime</v>
          </cell>
        </row>
        <row r="203">
          <cell r="A203" t="str">
            <v>Pan South Asia</v>
          </cell>
          <cell r="B203" t="str">
            <v>Non-Prime</v>
          </cell>
          <cell r="C203" t="str">
            <v>Non-Prime</v>
          </cell>
          <cell r="D203" t="str">
            <v>Non-Prime</v>
          </cell>
          <cell r="E203" t="str">
            <v>Non-Prime</v>
          </cell>
          <cell r="F203" t="str">
            <v>Non-Prime</v>
          </cell>
          <cell r="G203" t="str">
            <v>Non-Prime</v>
          </cell>
          <cell r="H203" t="str">
            <v>Non-Prime</v>
          </cell>
          <cell r="I203" t="str">
            <v>Non-Prime</v>
          </cell>
          <cell r="J203" t="str">
            <v>Non-Prime</v>
          </cell>
          <cell r="K203" t="str">
            <v>Non-Prime</v>
          </cell>
          <cell r="L203" t="str">
            <v>Non-Prime</v>
          </cell>
          <cell r="M203" t="str">
            <v>Non-Prime</v>
          </cell>
          <cell r="N203" t="str">
            <v>Non-Prime</v>
          </cell>
          <cell r="O203" t="str">
            <v>Non-Prime</v>
          </cell>
          <cell r="P203" t="str">
            <v>Non-Prime</v>
          </cell>
          <cell r="Q203" t="str">
            <v>Non-Prime</v>
          </cell>
          <cell r="R203" t="str">
            <v>Non-Prime</v>
          </cell>
          <cell r="S203" t="str">
            <v>Non-Prime</v>
          </cell>
          <cell r="T203" t="str">
            <v>Prime</v>
          </cell>
          <cell r="U203" t="str">
            <v>Prime</v>
          </cell>
          <cell r="V203" t="str">
            <v>Prime</v>
          </cell>
          <cell r="W203" t="str">
            <v>Prime</v>
          </cell>
          <cell r="X203" t="str">
            <v>Prime</v>
          </cell>
          <cell r="Y203" t="str">
            <v>Prime</v>
          </cell>
          <cell r="Z203" t="str">
            <v>Non-Prime</v>
          </cell>
          <cell r="AA203" t="str">
            <v>Non-Prime</v>
          </cell>
          <cell r="AB203" t="str">
            <v>Non-Prime</v>
          </cell>
          <cell r="AC203" t="str">
            <v>Non-Prime</v>
          </cell>
          <cell r="AD203" t="str">
            <v>Non-Prime</v>
          </cell>
          <cell r="AE203" t="str">
            <v>Non-Prime</v>
          </cell>
          <cell r="AF203" t="str">
            <v>Non-Prime</v>
          </cell>
        </row>
        <row r="204">
          <cell r="A204" t="str">
            <v>Pan South East Asia</v>
          </cell>
          <cell r="B204" t="str">
            <v>Non-Prime</v>
          </cell>
          <cell r="C204" t="str">
            <v>Non-Prime</v>
          </cell>
          <cell r="D204" t="str">
            <v>Non-Prime</v>
          </cell>
          <cell r="E204" t="str">
            <v>Non-Prime</v>
          </cell>
          <cell r="F204" t="str">
            <v>Non-Prime</v>
          </cell>
          <cell r="G204" t="str">
            <v>Non-Prime</v>
          </cell>
          <cell r="H204" t="str">
            <v>Non-Prime</v>
          </cell>
          <cell r="I204" t="str">
            <v>Non-Prime</v>
          </cell>
          <cell r="J204" t="str">
            <v>Non-Prime</v>
          </cell>
          <cell r="K204" t="str">
            <v>Non-Prime</v>
          </cell>
          <cell r="L204" t="str">
            <v>Non-Prime</v>
          </cell>
          <cell r="M204" t="str">
            <v>Non-Prime</v>
          </cell>
          <cell r="N204" t="str">
            <v>Non-Prime</v>
          </cell>
          <cell r="O204" t="str">
            <v>Non-Prime</v>
          </cell>
          <cell r="P204" t="str">
            <v>Non-Prime</v>
          </cell>
          <cell r="Q204" t="str">
            <v>Non-Prime</v>
          </cell>
          <cell r="R204" t="str">
            <v>Non-Prime</v>
          </cell>
          <cell r="S204" t="str">
            <v>Non-Prime</v>
          </cell>
          <cell r="T204" t="str">
            <v>Non-Prime</v>
          </cell>
          <cell r="U204" t="str">
            <v>Non-Prime</v>
          </cell>
          <cell r="V204" t="str">
            <v>Prime</v>
          </cell>
          <cell r="W204" t="str">
            <v>Prime</v>
          </cell>
          <cell r="X204" t="str">
            <v>Prime</v>
          </cell>
          <cell r="Y204" t="str">
            <v>Prime</v>
          </cell>
          <cell r="Z204" t="str">
            <v>Non-Prime</v>
          </cell>
          <cell r="AA204" t="str">
            <v>Non-Prime</v>
          </cell>
          <cell r="AB204" t="str">
            <v>Non-Prime</v>
          </cell>
          <cell r="AC204" t="str">
            <v>Non-Prime</v>
          </cell>
          <cell r="AD204" t="str">
            <v>Non-Prime</v>
          </cell>
          <cell r="AE204" t="str">
            <v>Non-Prime</v>
          </cell>
          <cell r="AF204" t="str">
            <v>Non-Prime</v>
          </cell>
        </row>
        <row r="205">
          <cell r="A205" t="str">
            <v>Pan Thailand</v>
          </cell>
          <cell r="B205" t="str">
            <v>Non-Prime</v>
          </cell>
          <cell r="C205" t="str">
            <v>Non-Prime</v>
          </cell>
          <cell r="D205" t="str">
            <v>Non-Prime</v>
          </cell>
          <cell r="E205" t="str">
            <v>Non-Prime</v>
          </cell>
          <cell r="F205" t="str">
            <v>Non-Prime</v>
          </cell>
          <cell r="G205" t="str">
            <v>Non-Prime</v>
          </cell>
          <cell r="H205" t="str">
            <v>Non-Prime</v>
          </cell>
          <cell r="I205" t="str">
            <v>Non-Prime</v>
          </cell>
          <cell r="J205" t="str">
            <v>Non-Prime</v>
          </cell>
          <cell r="K205" t="str">
            <v>Non-Prime</v>
          </cell>
          <cell r="L205" t="str">
            <v>Non-Prime</v>
          </cell>
          <cell r="M205" t="str">
            <v>Non-Prime</v>
          </cell>
          <cell r="N205" t="str">
            <v>Non-Prime</v>
          </cell>
          <cell r="O205" t="str">
            <v>Non-Prime</v>
          </cell>
          <cell r="P205" t="str">
            <v>Non-Prime</v>
          </cell>
          <cell r="Q205" t="str">
            <v>Non-Prime</v>
          </cell>
          <cell r="R205" t="str">
            <v>Non-Prime</v>
          </cell>
          <cell r="S205" t="str">
            <v>Non-Prime</v>
          </cell>
          <cell r="T205" t="str">
            <v>Non-Prime</v>
          </cell>
          <cell r="U205" t="str">
            <v>Non-Prime</v>
          </cell>
          <cell r="V205" t="str">
            <v>Prime</v>
          </cell>
          <cell r="W205" t="str">
            <v>Prime</v>
          </cell>
          <cell r="X205" t="str">
            <v>Prime</v>
          </cell>
          <cell r="Y205" t="str">
            <v>Prime</v>
          </cell>
          <cell r="Z205" t="str">
            <v>Non-Prime</v>
          </cell>
          <cell r="AA205" t="str">
            <v>Non-Prime</v>
          </cell>
          <cell r="AB205" t="str">
            <v>Non-Prime</v>
          </cell>
          <cell r="AC205" t="str">
            <v>Non-Prime</v>
          </cell>
          <cell r="AD205" t="str">
            <v>Non-Prime</v>
          </cell>
          <cell r="AE205" t="str">
            <v>Non-Prime</v>
          </cell>
          <cell r="AF205" t="str">
            <v>Non-Prime</v>
          </cell>
        </row>
        <row r="206">
          <cell r="A206" t="str">
            <v>Pan Thailand (Fox Sports)</v>
          </cell>
          <cell r="B206" t="str">
            <v>Non-Prime</v>
          </cell>
          <cell r="C206" t="str">
            <v>Non-Prime</v>
          </cell>
          <cell r="D206" t="str">
            <v>Non-Prime</v>
          </cell>
          <cell r="E206" t="str">
            <v>Non-Prime</v>
          </cell>
          <cell r="F206" t="str">
            <v>Non-Prime</v>
          </cell>
          <cell r="G206" t="str">
            <v>Non-Prime</v>
          </cell>
          <cell r="H206" t="str">
            <v>Non-Prime</v>
          </cell>
          <cell r="I206" t="str">
            <v>Non-Prime</v>
          </cell>
          <cell r="J206" t="str">
            <v>Non-Prime</v>
          </cell>
          <cell r="K206" t="str">
            <v>Non-Prime</v>
          </cell>
          <cell r="L206" t="str">
            <v>Non-Prime</v>
          </cell>
          <cell r="M206" t="str">
            <v>Non-Prime</v>
          </cell>
          <cell r="N206" t="str">
            <v>Non-Prime</v>
          </cell>
          <cell r="O206" t="str">
            <v>Non-Prime</v>
          </cell>
          <cell r="P206" t="str">
            <v>Non-Prime</v>
          </cell>
          <cell r="Q206" t="str">
            <v>Non-Prime</v>
          </cell>
          <cell r="R206" t="str">
            <v>Non-Prime</v>
          </cell>
          <cell r="S206" t="str">
            <v>Non-Prime</v>
          </cell>
          <cell r="T206" t="str">
            <v>Prime</v>
          </cell>
          <cell r="U206" t="str">
            <v>Prime</v>
          </cell>
          <cell r="V206" t="str">
            <v>Prime</v>
          </cell>
          <cell r="W206" t="str">
            <v>Prime</v>
          </cell>
          <cell r="X206" t="str">
            <v>Prime</v>
          </cell>
          <cell r="Y206" t="str">
            <v>Prime</v>
          </cell>
          <cell r="Z206" t="str">
            <v>Non-Prime</v>
          </cell>
          <cell r="AA206" t="str">
            <v>Non-Prime</v>
          </cell>
          <cell r="AB206" t="str">
            <v>Non-Prime</v>
          </cell>
          <cell r="AC206" t="str">
            <v>Non-Prime</v>
          </cell>
          <cell r="AD206" t="str">
            <v>Non-Prime</v>
          </cell>
          <cell r="AE206" t="str">
            <v>Non-Prime</v>
          </cell>
          <cell r="AF206" t="str">
            <v>Non-Prime</v>
          </cell>
        </row>
        <row r="207">
          <cell r="A207" t="str">
            <v>Pan Western Balkans</v>
          </cell>
          <cell r="B207" t="str">
            <v>Non-Prime</v>
          </cell>
          <cell r="C207" t="str">
            <v>Non-Prime</v>
          </cell>
          <cell r="D207" t="str">
            <v>Non-Prime</v>
          </cell>
          <cell r="E207" t="str">
            <v>Non-Prime</v>
          </cell>
          <cell r="F207" t="str">
            <v>Non-Prime</v>
          </cell>
          <cell r="G207" t="str">
            <v>Non-Prime</v>
          </cell>
          <cell r="H207" t="str">
            <v>Non-Prime</v>
          </cell>
          <cell r="I207" t="str">
            <v>Non-Prime</v>
          </cell>
          <cell r="J207" t="str">
            <v>Non-Prime</v>
          </cell>
          <cell r="K207" t="str">
            <v>Non-Prime</v>
          </cell>
          <cell r="L207" t="str">
            <v>Non-Prime</v>
          </cell>
          <cell r="M207" t="str">
            <v>Non-Prime</v>
          </cell>
          <cell r="N207" t="str">
            <v>Non-Prime</v>
          </cell>
          <cell r="O207" t="str">
            <v>Non-Prime</v>
          </cell>
          <cell r="P207" t="str">
            <v>Non-Prime</v>
          </cell>
          <cell r="Q207" t="str">
            <v>Non-Prime</v>
          </cell>
          <cell r="R207" t="str">
            <v>Non-Prime</v>
          </cell>
          <cell r="S207" t="str">
            <v>Non-Prime</v>
          </cell>
          <cell r="T207" t="str">
            <v>Prime</v>
          </cell>
          <cell r="U207" t="str">
            <v>Prime</v>
          </cell>
          <cell r="V207" t="str">
            <v>Prime</v>
          </cell>
          <cell r="W207" t="str">
            <v>Prime</v>
          </cell>
          <cell r="X207" t="str">
            <v>Prime</v>
          </cell>
          <cell r="Y207" t="str">
            <v>Prime</v>
          </cell>
          <cell r="Z207" t="str">
            <v>Non-Prime</v>
          </cell>
          <cell r="AA207" t="str">
            <v>Non-Prime</v>
          </cell>
          <cell r="AB207" t="str">
            <v>Non-Prime</v>
          </cell>
          <cell r="AC207" t="str">
            <v>Non-Prime</v>
          </cell>
          <cell r="AD207" t="str">
            <v>Non-Prime</v>
          </cell>
          <cell r="AE207" t="str">
            <v>Non-Prime</v>
          </cell>
          <cell r="AF207" t="str">
            <v>Non-Prime</v>
          </cell>
        </row>
        <row r="208">
          <cell r="A208" t="str">
            <v>Pan Western Europe</v>
          </cell>
          <cell r="B208" t="str">
            <v>Non-Prime</v>
          </cell>
          <cell r="C208" t="str">
            <v>Non-Prime</v>
          </cell>
          <cell r="D208" t="str">
            <v>Non-Prime</v>
          </cell>
          <cell r="E208" t="str">
            <v>Non-Prime</v>
          </cell>
          <cell r="F208" t="str">
            <v>Non-Prime</v>
          </cell>
          <cell r="G208" t="str">
            <v>Non-Prime</v>
          </cell>
          <cell r="H208" t="str">
            <v>Non-Prime</v>
          </cell>
          <cell r="I208" t="str">
            <v>Non-Prime</v>
          </cell>
          <cell r="J208" t="str">
            <v>Non-Prime</v>
          </cell>
          <cell r="K208" t="str">
            <v>Non-Prime</v>
          </cell>
          <cell r="L208" t="str">
            <v>Non-Prime</v>
          </cell>
          <cell r="M208" t="str">
            <v>Non-Prime</v>
          </cell>
          <cell r="N208" t="str">
            <v>Non-Prime</v>
          </cell>
          <cell r="O208" t="str">
            <v>Non-Prime</v>
          </cell>
          <cell r="P208" t="str">
            <v>Non-Prime</v>
          </cell>
          <cell r="Q208" t="str">
            <v>Non-Prime</v>
          </cell>
          <cell r="R208" t="str">
            <v>Non-Prime</v>
          </cell>
          <cell r="S208" t="str">
            <v>Non-Prime</v>
          </cell>
          <cell r="T208" t="str">
            <v>Non-Prime</v>
          </cell>
          <cell r="U208" t="str">
            <v>Prime</v>
          </cell>
          <cell r="V208" t="str">
            <v>Prime</v>
          </cell>
          <cell r="W208" t="str">
            <v>Prime</v>
          </cell>
          <cell r="X208" t="str">
            <v>Prime</v>
          </cell>
          <cell r="Y208" t="str">
            <v>Non-Prime</v>
          </cell>
          <cell r="Z208" t="str">
            <v>Non-Prime</v>
          </cell>
          <cell r="AA208" t="str">
            <v>Non-Prime</v>
          </cell>
          <cell r="AB208" t="str">
            <v>Non-Prime</v>
          </cell>
          <cell r="AC208" t="str">
            <v>Non-Prime</v>
          </cell>
          <cell r="AD208" t="str">
            <v>Non-Prime</v>
          </cell>
          <cell r="AE208" t="str">
            <v>Non-Prime</v>
          </cell>
          <cell r="AF208" t="str">
            <v>Non-Prime</v>
          </cell>
        </row>
        <row r="209">
          <cell r="A209" t="str">
            <v>Panama</v>
          </cell>
          <cell r="B209" t="str">
            <v>Non-Prime</v>
          </cell>
          <cell r="C209" t="str">
            <v>Non-Prime</v>
          </cell>
          <cell r="D209" t="str">
            <v>Non-Prime</v>
          </cell>
          <cell r="E209" t="str">
            <v>Non-Prime</v>
          </cell>
          <cell r="F209" t="str">
            <v>Non-Prime</v>
          </cell>
          <cell r="G209" t="str">
            <v>Non-Prime</v>
          </cell>
          <cell r="H209" t="str">
            <v>Non-Prime</v>
          </cell>
          <cell r="I209" t="str">
            <v>Non-Prime</v>
          </cell>
          <cell r="J209" t="str">
            <v>Non-Prime</v>
          </cell>
          <cell r="K209" t="str">
            <v>Non-Prime</v>
          </cell>
          <cell r="L209" t="str">
            <v>Non-Prime</v>
          </cell>
          <cell r="M209" t="str">
            <v>Non-Prime</v>
          </cell>
          <cell r="N209" t="str">
            <v>Non-Prime</v>
          </cell>
          <cell r="O209" t="str">
            <v>Non-Prime</v>
          </cell>
          <cell r="P209" t="str">
            <v>Non-Prime</v>
          </cell>
          <cell r="Q209" t="str">
            <v>Non-Prime</v>
          </cell>
          <cell r="R209" t="str">
            <v>Non-Prime</v>
          </cell>
          <cell r="S209" t="str">
            <v>Non-Prime</v>
          </cell>
          <cell r="T209" t="str">
            <v>Non-Prime</v>
          </cell>
          <cell r="U209" t="str">
            <v>Non-Prime</v>
          </cell>
          <cell r="V209" t="str">
            <v>Prime</v>
          </cell>
          <cell r="W209" t="str">
            <v>Prime</v>
          </cell>
          <cell r="X209" t="str">
            <v>Prime</v>
          </cell>
          <cell r="Y209" t="str">
            <v>Prime</v>
          </cell>
          <cell r="Z209" t="str">
            <v>Non-Prime</v>
          </cell>
          <cell r="AA209" t="str">
            <v>Non-Prime</v>
          </cell>
          <cell r="AB209" t="str">
            <v>Non-Prime</v>
          </cell>
          <cell r="AC209" t="str">
            <v>Non-Prime</v>
          </cell>
          <cell r="AD209" t="str">
            <v>Non-Prime</v>
          </cell>
          <cell r="AE209" t="str">
            <v>Non-Prime</v>
          </cell>
          <cell r="AF209" t="str">
            <v>Non-Prime</v>
          </cell>
        </row>
        <row r="210">
          <cell r="A210" t="str">
            <v>Pan-Asia</v>
          </cell>
          <cell r="B210" t="str">
            <v>Non-Prime</v>
          </cell>
          <cell r="C210" t="str">
            <v>Non-Prime</v>
          </cell>
          <cell r="D210" t="str">
            <v>Non-Prime</v>
          </cell>
          <cell r="E210" t="str">
            <v>Non-Prime</v>
          </cell>
          <cell r="F210" t="str">
            <v>Non-Prime</v>
          </cell>
          <cell r="G210" t="str">
            <v>Non-Prime</v>
          </cell>
          <cell r="H210" t="str">
            <v>Non-Prime</v>
          </cell>
          <cell r="I210" t="str">
            <v>Non-Prime</v>
          </cell>
          <cell r="J210" t="str">
            <v>Non-Prime</v>
          </cell>
          <cell r="K210" t="str">
            <v>Non-Prime</v>
          </cell>
          <cell r="L210" t="str">
            <v>Non-Prime</v>
          </cell>
          <cell r="M210" t="str">
            <v>Non-Prime</v>
          </cell>
          <cell r="N210" t="str">
            <v>Non-Prime</v>
          </cell>
          <cell r="O210" t="str">
            <v>Non-Prime</v>
          </cell>
          <cell r="P210" t="str">
            <v>Non-Prime</v>
          </cell>
          <cell r="Q210" t="str">
            <v>Non-Prime</v>
          </cell>
          <cell r="R210" t="str">
            <v>Non-Prime</v>
          </cell>
          <cell r="S210" t="str">
            <v>Non-Prime</v>
          </cell>
          <cell r="T210" t="str">
            <v>Non-Prime</v>
          </cell>
          <cell r="U210" t="str">
            <v>Non-Prime</v>
          </cell>
          <cell r="V210" t="str">
            <v>Prime</v>
          </cell>
          <cell r="W210" t="str">
            <v>Prime</v>
          </cell>
          <cell r="X210" t="str">
            <v>Prime</v>
          </cell>
          <cell r="Y210" t="str">
            <v>Prime</v>
          </cell>
          <cell r="Z210" t="str">
            <v>Non-Prime</v>
          </cell>
          <cell r="AA210" t="str">
            <v>Non-Prime</v>
          </cell>
          <cell r="AB210" t="str">
            <v>Non-Prime</v>
          </cell>
          <cell r="AC210" t="str">
            <v>Non-Prime</v>
          </cell>
          <cell r="AD210" t="str">
            <v>Non-Prime</v>
          </cell>
          <cell r="AE210" t="str">
            <v>Non-Prime</v>
          </cell>
          <cell r="AF210" t="str">
            <v>Non-Prime</v>
          </cell>
        </row>
        <row r="211">
          <cell r="A211" t="str">
            <v>Papua New Guinea</v>
          </cell>
          <cell r="B211" t="str">
            <v>Non-Prime</v>
          </cell>
          <cell r="C211" t="str">
            <v>Non-Prime</v>
          </cell>
          <cell r="D211" t="str">
            <v>Non-Prime</v>
          </cell>
          <cell r="E211" t="str">
            <v>Non-Prime</v>
          </cell>
          <cell r="F211" t="str">
            <v>Non-Prime</v>
          </cell>
          <cell r="G211" t="str">
            <v>Non-Prime</v>
          </cell>
          <cell r="H211" t="str">
            <v>Non-Prime</v>
          </cell>
          <cell r="I211" t="str">
            <v>Non-Prime</v>
          </cell>
          <cell r="J211" t="str">
            <v>Non-Prime</v>
          </cell>
          <cell r="K211" t="str">
            <v>Non-Prime</v>
          </cell>
          <cell r="L211" t="str">
            <v>Non-Prime</v>
          </cell>
          <cell r="M211" t="str">
            <v>Non-Prime</v>
          </cell>
          <cell r="N211" t="str">
            <v>Non-Prime</v>
          </cell>
          <cell r="O211" t="str">
            <v>Non-Prime</v>
          </cell>
          <cell r="P211" t="str">
            <v>Non-Prime</v>
          </cell>
          <cell r="Q211" t="str">
            <v>Non-Prime</v>
          </cell>
          <cell r="R211" t="str">
            <v>Non-Prime</v>
          </cell>
          <cell r="S211" t="str">
            <v>Non-Prime</v>
          </cell>
          <cell r="T211" t="str">
            <v>Non-Prime</v>
          </cell>
          <cell r="U211" t="str">
            <v>Prime</v>
          </cell>
          <cell r="V211" t="str">
            <v>Prime</v>
          </cell>
          <cell r="W211" t="str">
            <v>Prime</v>
          </cell>
          <cell r="X211" t="str">
            <v>Non-Prime</v>
          </cell>
          <cell r="Y211" t="str">
            <v>Non-Prime</v>
          </cell>
          <cell r="Z211" t="str">
            <v>Non-Prime</v>
          </cell>
          <cell r="AA211" t="str">
            <v>Non-Prime</v>
          </cell>
          <cell r="AB211" t="str">
            <v>Non-Prime</v>
          </cell>
          <cell r="AC211" t="str">
            <v>Non-Prime</v>
          </cell>
          <cell r="AD211" t="str">
            <v>Non-Prime</v>
          </cell>
          <cell r="AE211" t="str">
            <v>Non-Prime</v>
          </cell>
          <cell r="AF211" t="str">
            <v>Non-Prime</v>
          </cell>
        </row>
        <row r="212">
          <cell r="A212" t="str">
            <v>Paraguay</v>
          </cell>
          <cell r="B212" t="str">
            <v>Non-Prime</v>
          </cell>
          <cell r="C212" t="str">
            <v>Non-Prime</v>
          </cell>
          <cell r="D212" t="str">
            <v>Non-Prime</v>
          </cell>
          <cell r="E212" t="str">
            <v>Non-Prime</v>
          </cell>
          <cell r="F212" t="str">
            <v>Non-Prime</v>
          </cell>
          <cell r="G212" t="str">
            <v>Non-Prime</v>
          </cell>
          <cell r="H212" t="str">
            <v>Non-Prime</v>
          </cell>
          <cell r="I212" t="str">
            <v>Non-Prime</v>
          </cell>
          <cell r="J212" t="str">
            <v>Non-Prime</v>
          </cell>
          <cell r="K212" t="str">
            <v>Non-Prime</v>
          </cell>
          <cell r="L212" t="str">
            <v>Non-Prime</v>
          </cell>
          <cell r="M212" t="str">
            <v>Non-Prime</v>
          </cell>
          <cell r="N212" t="str">
            <v>Non-Prime</v>
          </cell>
          <cell r="O212" t="str">
            <v>Non-Prime</v>
          </cell>
          <cell r="P212" t="str">
            <v>Non-Prime</v>
          </cell>
          <cell r="Q212" t="str">
            <v>Non-Prime</v>
          </cell>
          <cell r="R212" t="str">
            <v>Non-Prime</v>
          </cell>
          <cell r="S212" t="str">
            <v>Non-Prime</v>
          </cell>
          <cell r="T212" t="str">
            <v>Non-Prime</v>
          </cell>
          <cell r="U212" t="str">
            <v>Non-Prime</v>
          </cell>
          <cell r="V212" t="str">
            <v>Prime</v>
          </cell>
          <cell r="W212" t="str">
            <v>Prime</v>
          </cell>
          <cell r="X212" t="str">
            <v>Prime</v>
          </cell>
          <cell r="Y212" t="str">
            <v>Prime</v>
          </cell>
          <cell r="Z212" t="str">
            <v>Non-Prime</v>
          </cell>
          <cell r="AA212" t="str">
            <v>Non-Prime</v>
          </cell>
          <cell r="AB212" t="str">
            <v>Non-Prime</v>
          </cell>
          <cell r="AC212" t="str">
            <v>Non-Prime</v>
          </cell>
          <cell r="AD212" t="str">
            <v>Non-Prime</v>
          </cell>
          <cell r="AE212" t="str">
            <v>Non-Prime</v>
          </cell>
          <cell r="AF212" t="str">
            <v>Non-Prime</v>
          </cell>
        </row>
        <row r="213">
          <cell r="A213" t="str">
            <v>Peru</v>
          </cell>
          <cell r="B213" t="str">
            <v>Non-Prime</v>
          </cell>
          <cell r="C213" t="str">
            <v>Non-Prime</v>
          </cell>
          <cell r="D213" t="str">
            <v>Non-Prime</v>
          </cell>
          <cell r="E213" t="str">
            <v>Non-Prime</v>
          </cell>
          <cell r="F213" t="str">
            <v>Non-Prime</v>
          </cell>
          <cell r="G213" t="str">
            <v>Non-Prime</v>
          </cell>
          <cell r="H213" t="str">
            <v>Non-Prime</v>
          </cell>
          <cell r="I213" t="str">
            <v>Non-Prime</v>
          </cell>
          <cell r="J213" t="str">
            <v>Non-Prime</v>
          </cell>
          <cell r="K213" t="str">
            <v>Non-Prime</v>
          </cell>
          <cell r="L213" t="str">
            <v>Non-Prime</v>
          </cell>
          <cell r="M213" t="str">
            <v>Non-Prime</v>
          </cell>
          <cell r="N213" t="str">
            <v>Non-Prime</v>
          </cell>
          <cell r="O213" t="str">
            <v>Non-Prime</v>
          </cell>
          <cell r="P213" t="str">
            <v>Non-Prime</v>
          </cell>
          <cell r="Q213" t="str">
            <v>Non-Prime</v>
          </cell>
          <cell r="R213" t="str">
            <v>Non-Prime</v>
          </cell>
          <cell r="S213" t="str">
            <v>Non-Prime</v>
          </cell>
          <cell r="T213" t="str">
            <v>Non-Prime</v>
          </cell>
          <cell r="U213" t="str">
            <v>Non-Prime</v>
          </cell>
          <cell r="V213" t="str">
            <v>Prime</v>
          </cell>
          <cell r="W213" t="str">
            <v>Prime</v>
          </cell>
          <cell r="X213" t="str">
            <v>Prime</v>
          </cell>
          <cell r="Y213" t="str">
            <v>Prime</v>
          </cell>
          <cell r="Z213" t="str">
            <v>Non-Prime</v>
          </cell>
          <cell r="AA213" t="str">
            <v>Non-Prime</v>
          </cell>
          <cell r="AB213" t="str">
            <v>Non-Prime</v>
          </cell>
          <cell r="AC213" t="str">
            <v>Non-Prime</v>
          </cell>
          <cell r="AD213" t="str">
            <v>Non-Prime</v>
          </cell>
          <cell r="AE213" t="str">
            <v>Non-Prime</v>
          </cell>
          <cell r="AF213" t="str">
            <v>Non-Prime</v>
          </cell>
        </row>
        <row r="214">
          <cell r="A214" t="str">
            <v>Philippines</v>
          </cell>
          <cell r="B214" t="str">
            <v>Non-Prime</v>
          </cell>
          <cell r="C214" t="str">
            <v>Non-Prime</v>
          </cell>
          <cell r="D214" t="str">
            <v>Non-Prime</v>
          </cell>
          <cell r="E214" t="str">
            <v>Non-Prime</v>
          </cell>
          <cell r="F214" t="str">
            <v>Non-Prime</v>
          </cell>
          <cell r="G214" t="str">
            <v>Non-Prime</v>
          </cell>
          <cell r="H214" t="str">
            <v>Non-Prime</v>
          </cell>
          <cell r="I214" t="str">
            <v>Non-Prime</v>
          </cell>
          <cell r="J214" t="str">
            <v>Non-Prime</v>
          </cell>
          <cell r="K214" t="str">
            <v>Non-Prime</v>
          </cell>
          <cell r="L214" t="str">
            <v>Non-Prime</v>
          </cell>
          <cell r="M214" t="str">
            <v>Non-Prime</v>
          </cell>
          <cell r="N214" t="str">
            <v>Non-Prime</v>
          </cell>
          <cell r="O214" t="str">
            <v>Non-Prime</v>
          </cell>
          <cell r="P214" t="str">
            <v>Non-Prime</v>
          </cell>
          <cell r="Q214" t="str">
            <v>Non-Prime</v>
          </cell>
          <cell r="R214" t="str">
            <v>Non-Prime</v>
          </cell>
          <cell r="S214" t="str">
            <v>Non-Prime</v>
          </cell>
          <cell r="T214" t="str">
            <v>Non-Prime</v>
          </cell>
          <cell r="U214" t="str">
            <v>Non-Prime</v>
          </cell>
          <cell r="V214" t="str">
            <v>Prime</v>
          </cell>
          <cell r="W214" t="str">
            <v>Prime</v>
          </cell>
          <cell r="X214" t="str">
            <v>Prime</v>
          </cell>
          <cell r="Y214" t="str">
            <v>Prime</v>
          </cell>
          <cell r="Z214" t="str">
            <v>Non-Prime</v>
          </cell>
          <cell r="AA214" t="str">
            <v>Non-Prime</v>
          </cell>
          <cell r="AB214" t="str">
            <v>Non-Prime</v>
          </cell>
          <cell r="AC214" t="str">
            <v>Non-Prime</v>
          </cell>
          <cell r="AD214" t="str">
            <v>Non-Prime</v>
          </cell>
          <cell r="AE214" t="str">
            <v>Non-Prime</v>
          </cell>
          <cell r="AF214" t="str">
            <v>Non-Prime</v>
          </cell>
        </row>
        <row r="215">
          <cell r="A215" t="str">
            <v>Philippines (Fox)</v>
          </cell>
          <cell r="B215" t="str">
            <v>Non-Prime</v>
          </cell>
          <cell r="C215" t="str">
            <v>Non-Prime</v>
          </cell>
          <cell r="D215" t="str">
            <v>Non-Prime</v>
          </cell>
          <cell r="E215" t="str">
            <v>Non-Prime</v>
          </cell>
          <cell r="F215" t="str">
            <v>Non-Prime</v>
          </cell>
          <cell r="G215" t="str">
            <v>Non-Prime</v>
          </cell>
          <cell r="H215" t="str">
            <v>Non-Prime</v>
          </cell>
          <cell r="I215" t="str">
            <v>Non-Prime</v>
          </cell>
          <cell r="J215" t="str">
            <v>Non-Prime</v>
          </cell>
          <cell r="K215" t="str">
            <v>Non-Prime</v>
          </cell>
          <cell r="L215" t="str">
            <v>Non-Prime</v>
          </cell>
          <cell r="M215" t="str">
            <v>Non-Prime</v>
          </cell>
          <cell r="N215" t="str">
            <v>Non-Prime</v>
          </cell>
          <cell r="O215" t="str">
            <v>Non-Prime</v>
          </cell>
          <cell r="P215" t="str">
            <v>Non-Prime</v>
          </cell>
          <cell r="Q215" t="str">
            <v>Non-Prime</v>
          </cell>
          <cell r="R215" t="str">
            <v>Non-Prime</v>
          </cell>
          <cell r="S215" t="str">
            <v>Non-Prime</v>
          </cell>
          <cell r="T215" t="str">
            <v>Non-Prime</v>
          </cell>
          <cell r="U215" t="str">
            <v>Non-Prime</v>
          </cell>
          <cell r="V215" t="str">
            <v>Prime</v>
          </cell>
          <cell r="W215" t="str">
            <v>Prime</v>
          </cell>
          <cell r="X215" t="str">
            <v>Prime</v>
          </cell>
          <cell r="Y215" t="str">
            <v>Prime</v>
          </cell>
          <cell r="Z215" t="str">
            <v>Non-Prime</v>
          </cell>
          <cell r="AA215" t="str">
            <v>Non-Prime</v>
          </cell>
          <cell r="AB215" t="str">
            <v>Non-Prime</v>
          </cell>
          <cell r="AC215" t="str">
            <v>Non-Prime</v>
          </cell>
          <cell r="AD215" t="str">
            <v>Non-Prime</v>
          </cell>
          <cell r="AE215" t="str">
            <v>Non-Prime</v>
          </cell>
          <cell r="AF215" t="str">
            <v>Non-Prime</v>
          </cell>
        </row>
        <row r="216">
          <cell r="A216" t="str">
            <v>Pitcairn</v>
          </cell>
          <cell r="B216" t="str">
            <v>Non-Prime</v>
          </cell>
          <cell r="C216" t="str">
            <v>Non-Prime</v>
          </cell>
          <cell r="D216" t="str">
            <v>Non-Prime</v>
          </cell>
          <cell r="E216" t="str">
            <v>Non-Prime</v>
          </cell>
          <cell r="F216" t="str">
            <v>Non-Prime</v>
          </cell>
          <cell r="G216" t="str">
            <v>Non-Prime</v>
          </cell>
          <cell r="H216" t="str">
            <v>Non-Prime</v>
          </cell>
          <cell r="I216" t="str">
            <v>Non-Prime</v>
          </cell>
          <cell r="J216" t="str">
            <v>Non-Prime</v>
          </cell>
          <cell r="K216" t="str">
            <v>Non-Prime</v>
          </cell>
          <cell r="L216" t="str">
            <v>Non-Prime</v>
          </cell>
          <cell r="M216" t="str">
            <v>Non-Prime</v>
          </cell>
          <cell r="N216" t="str">
            <v>Non-Prime</v>
          </cell>
          <cell r="O216" t="str">
            <v>Non-Prime</v>
          </cell>
          <cell r="P216" t="str">
            <v>Non-Prime</v>
          </cell>
          <cell r="Q216" t="str">
            <v>Non-Prime</v>
          </cell>
          <cell r="R216" t="str">
            <v>Non-Prime</v>
          </cell>
          <cell r="S216" t="str">
            <v>Non-Prime</v>
          </cell>
          <cell r="T216" t="str">
            <v>Non-Prime</v>
          </cell>
          <cell r="U216" t="str">
            <v>Non-Prime</v>
          </cell>
          <cell r="V216" t="str">
            <v>Prime</v>
          </cell>
          <cell r="W216" t="str">
            <v>Prime</v>
          </cell>
          <cell r="X216" t="str">
            <v>Prime</v>
          </cell>
          <cell r="Y216" t="str">
            <v>Prime</v>
          </cell>
          <cell r="Z216" t="str">
            <v>Non-Prime</v>
          </cell>
          <cell r="AA216" t="str">
            <v>Non-Prime</v>
          </cell>
          <cell r="AB216" t="str">
            <v>Non-Prime</v>
          </cell>
          <cell r="AC216" t="str">
            <v>Non-Prime</v>
          </cell>
          <cell r="AD216" t="str">
            <v>Non-Prime</v>
          </cell>
          <cell r="AE216" t="str">
            <v>Non-Prime</v>
          </cell>
          <cell r="AF216" t="str">
            <v>Non-Prime</v>
          </cell>
        </row>
        <row r="217">
          <cell r="A217" t="str">
            <v>Poland</v>
          </cell>
          <cell r="B217" t="str">
            <v>Non-Prime</v>
          </cell>
          <cell r="C217" t="str">
            <v>Non-Prime</v>
          </cell>
          <cell r="D217" t="str">
            <v>Non-Prime</v>
          </cell>
          <cell r="E217" t="str">
            <v>Non-Prime</v>
          </cell>
          <cell r="F217" t="str">
            <v>Non-Prime</v>
          </cell>
          <cell r="G217" t="str">
            <v>Non-Prime</v>
          </cell>
          <cell r="H217" t="str">
            <v>Non-Prime</v>
          </cell>
          <cell r="I217" t="str">
            <v>Non-Prime</v>
          </cell>
          <cell r="J217" t="str">
            <v>Non-Prime</v>
          </cell>
          <cell r="K217" t="str">
            <v>Non-Prime</v>
          </cell>
          <cell r="L217" t="str">
            <v>Non-Prime</v>
          </cell>
          <cell r="M217" t="str">
            <v>Non-Prime</v>
          </cell>
          <cell r="N217" t="str">
            <v>Non-Prime</v>
          </cell>
          <cell r="O217" t="str">
            <v>Non-Prime</v>
          </cell>
          <cell r="P217" t="str">
            <v>Non-Prime</v>
          </cell>
          <cell r="Q217" t="str">
            <v>Non-Prime</v>
          </cell>
          <cell r="R217" t="str">
            <v>Non-Prime</v>
          </cell>
          <cell r="S217" t="str">
            <v>Non-Prime</v>
          </cell>
          <cell r="T217" t="str">
            <v>Non-Prime</v>
          </cell>
          <cell r="U217" t="str">
            <v>Non-Prime</v>
          </cell>
          <cell r="V217" t="str">
            <v>Prime</v>
          </cell>
          <cell r="W217" t="str">
            <v>Prime</v>
          </cell>
          <cell r="X217" t="str">
            <v>Prime</v>
          </cell>
          <cell r="Y217" t="str">
            <v>Prime</v>
          </cell>
          <cell r="Z217" t="str">
            <v>Non-Prime</v>
          </cell>
          <cell r="AA217" t="str">
            <v>Non-Prime</v>
          </cell>
          <cell r="AB217" t="str">
            <v>Non-Prime</v>
          </cell>
          <cell r="AC217" t="str">
            <v>Non-Prime</v>
          </cell>
          <cell r="AD217" t="str">
            <v>Non-Prime</v>
          </cell>
          <cell r="AE217" t="str">
            <v>Non-Prime</v>
          </cell>
          <cell r="AF217" t="str">
            <v>Non-Prime</v>
          </cell>
        </row>
        <row r="218">
          <cell r="A218" t="str">
            <v>Portugal</v>
          </cell>
          <cell r="B218" t="str">
            <v>Non-Prime</v>
          </cell>
          <cell r="C218" t="str">
            <v>Non-Prime</v>
          </cell>
          <cell r="D218" t="str">
            <v>Non-Prime</v>
          </cell>
          <cell r="E218" t="str">
            <v>Non-Prime</v>
          </cell>
          <cell r="F218" t="str">
            <v>Non-Prime</v>
          </cell>
          <cell r="G218" t="str">
            <v>Non-Prime</v>
          </cell>
          <cell r="H218" t="str">
            <v>Non-Prime</v>
          </cell>
          <cell r="I218" t="str">
            <v>Non-Prime</v>
          </cell>
          <cell r="J218" t="str">
            <v>Non-Prime</v>
          </cell>
          <cell r="K218" t="str">
            <v>Non-Prime</v>
          </cell>
          <cell r="L218" t="str">
            <v>Non-Prime</v>
          </cell>
          <cell r="M218" t="str">
            <v>Non-Prime</v>
          </cell>
          <cell r="N218" t="str">
            <v>Non-Prime</v>
          </cell>
          <cell r="O218" t="str">
            <v>Non-Prime</v>
          </cell>
          <cell r="P218" t="str">
            <v>Non-Prime</v>
          </cell>
          <cell r="Q218" t="str">
            <v>Non-Prime</v>
          </cell>
          <cell r="R218" t="str">
            <v>Non-Prime</v>
          </cell>
          <cell r="S218" t="str">
            <v>Non-Prime</v>
          </cell>
          <cell r="T218" t="str">
            <v>Non-Prime</v>
          </cell>
          <cell r="U218" t="str">
            <v>Prime</v>
          </cell>
          <cell r="V218" t="str">
            <v>Prime</v>
          </cell>
          <cell r="W218" t="str">
            <v>Prime</v>
          </cell>
          <cell r="X218" t="str">
            <v>Prime</v>
          </cell>
          <cell r="Y218" t="str">
            <v>Non-Prime</v>
          </cell>
          <cell r="Z218" t="str">
            <v>Non-Prime</v>
          </cell>
          <cell r="AA218" t="str">
            <v>Non-Prime</v>
          </cell>
          <cell r="AB218" t="str">
            <v>Non-Prime</v>
          </cell>
          <cell r="AC218" t="str">
            <v>Non-Prime</v>
          </cell>
          <cell r="AD218" t="str">
            <v>Non-Prime</v>
          </cell>
          <cell r="AE218" t="str">
            <v>Non-Prime</v>
          </cell>
          <cell r="AF218" t="str">
            <v>Non-Prime</v>
          </cell>
        </row>
        <row r="219">
          <cell r="A219" t="str">
            <v>Puerto Rico</v>
          </cell>
          <cell r="B219" t="str">
            <v>Non-Prime</v>
          </cell>
          <cell r="C219" t="str">
            <v>Non-Prime</v>
          </cell>
          <cell r="D219" t="str">
            <v>Non-Prime</v>
          </cell>
          <cell r="E219" t="str">
            <v>Non-Prime</v>
          </cell>
          <cell r="F219" t="str">
            <v>Non-Prime</v>
          </cell>
          <cell r="G219" t="str">
            <v>Non-Prime</v>
          </cell>
          <cell r="H219" t="str">
            <v>Non-Prime</v>
          </cell>
          <cell r="I219" t="str">
            <v>Non-Prime</v>
          </cell>
          <cell r="J219" t="str">
            <v>Non-Prime</v>
          </cell>
          <cell r="K219" t="str">
            <v>Non-Prime</v>
          </cell>
          <cell r="L219" t="str">
            <v>Non-Prime</v>
          </cell>
          <cell r="M219" t="str">
            <v>Non-Prime</v>
          </cell>
          <cell r="N219" t="str">
            <v>Non-Prime</v>
          </cell>
          <cell r="O219" t="str">
            <v>Non-Prime</v>
          </cell>
          <cell r="P219" t="str">
            <v>Non-Prime</v>
          </cell>
          <cell r="Q219" t="str">
            <v>Non-Prime</v>
          </cell>
          <cell r="R219" t="str">
            <v>Non-Prime</v>
          </cell>
          <cell r="S219" t="str">
            <v>Non-Prime</v>
          </cell>
          <cell r="T219" t="str">
            <v>Non-Prime</v>
          </cell>
          <cell r="U219" t="str">
            <v>Non-Prime</v>
          </cell>
          <cell r="V219" t="str">
            <v>Prime</v>
          </cell>
          <cell r="W219" t="str">
            <v>Prime</v>
          </cell>
          <cell r="X219" t="str">
            <v>Prime</v>
          </cell>
          <cell r="Y219" t="str">
            <v>Prime</v>
          </cell>
          <cell r="Z219" t="str">
            <v>Non-Prime</v>
          </cell>
          <cell r="AA219" t="str">
            <v>Non-Prime</v>
          </cell>
          <cell r="AB219" t="str">
            <v>Non-Prime</v>
          </cell>
          <cell r="AC219" t="str">
            <v>Non-Prime</v>
          </cell>
          <cell r="AD219" t="str">
            <v>Non-Prime</v>
          </cell>
          <cell r="AE219" t="str">
            <v>Non-Prime</v>
          </cell>
          <cell r="AF219" t="str">
            <v>Non-Prime</v>
          </cell>
        </row>
        <row r="220">
          <cell r="A220" t="str">
            <v>Reunion</v>
          </cell>
          <cell r="B220" t="str">
            <v>Non-Prime</v>
          </cell>
          <cell r="C220" t="str">
            <v>Non-Prime</v>
          </cell>
          <cell r="D220" t="str">
            <v>Non-Prime</v>
          </cell>
          <cell r="E220" t="str">
            <v>Non-Prime</v>
          </cell>
          <cell r="F220" t="str">
            <v>Non-Prime</v>
          </cell>
          <cell r="G220" t="str">
            <v>Non-Prime</v>
          </cell>
          <cell r="H220" t="str">
            <v>Non-Prime</v>
          </cell>
          <cell r="I220" t="str">
            <v>Non-Prime</v>
          </cell>
          <cell r="J220" t="str">
            <v>Non-Prime</v>
          </cell>
          <cell r="K220" t="str">
            <v>Non-Prime</v>
          </cell>
          <cell r="L220" t="str">
            <v>Non-Prime</v>
          </cell>
          <cell r="M220" t="str">
            <v>Non-Prime</v>
          </cell>
          <cell r="N220" t="str">
            <v>Non-Prime</v>
          </cell>
          <cell r="O220" t="str">
            <v>Non-Prime</v>
          </cell>
          <cell r="P220" t="str">
            <v>Non-Prime</v>
          </cell>
          <cell r="Q220" t="str">
            <v>Non-Prime</v>
          </cell>
          <cell r="R220" t="str">
            <v>Non-Prime</v>
          </cell>
          <cell r="S220" t="str">
            <v>Non-Prime</v>
          </cell>
          <cell r="T220" t="str">
            <v>Non-Prime</v>
          </cell>
          <cell r="U220" t="str">
            <v>Non-Prime</v>
          </cell>
          <cell r="V220" t="str">
            <v>Prime</v>
          </cell>
          <cell r="W220" t="str">
            <v>Prime</v>
          </cell>
          <cell r="X220" t="str">
            <v>Prime</v>
          </cell>
          <cell r="Y220" t="str">
            <v>Prime</v>
          </cell>
          <cell r="Z220" t="str">
            <v>Non-Prime</v>
          </cell>
          <cell r="AA220" t="str">
            <v>Non-Prime</v>
          </cell>
          <cell r="AB220" t="str">
            <v>Non-Prime</v>
          </cell>
          <cell r="AC220" t="str">
            <v>Non-Prime</v>
          </cell>
          <cell r="AD220" t="str">
            <v>Non-Prime</v>
          </cell>
          <cell r="AE220" t="str">
            <v>Non-Prime</v>
          </cell>
          <cell r="AF220" t="str">
            <v>Non-Prime</v>
          </cell>
        </row>
        <row r="221">
          <cell r="A221" t="str">
            <v>Romania</v>
          </cell>
          <cell r="B221" t="str">
            <v>Non-Prime</v>
          </cell>
          <cell r="C221" t="str">
            <v>Non-Prime</v>
          </cell>
          <cell r="D221" t="str">
            <v>Non-Prime</v>
          </cell>
          <cell r="E221" t="str">
            <v>Non-Prime</v>
          </cell>
          <cell r="F221" t="str">
            <v>Non-Prime</v>
          </cell>
          <cell r="G221" t="str">
            <v>Non-Prime</v>
          </cell>
          <cell r="H221" t="str">
            <v>Non-Prime</v>
          </cell>
          <cell r="I221" t="str">
            <v>Non-Prime</v>
          </cell>
          <cell r="J221" t="str">
            <v>Non-Prime</v>
          </cell>
          <cell r="K221" t="str">
            <v>Non-Prime</v>
          </cell>
          <cell r="L221" t="str">
            <v>Non-Prime</v>
          </cell>
          <cell r="M221" t="str">
            <v>Non-Prime</v>
          </cell>
          <cell r="N221" t="str">
            <v>Non-Prime</v>
          </cell>
          <cell r="O221" t="str">
            <v>Non-Prime</v>
          </cell>
          <cell r="P221" t="str">
            <v>Non-Prime</v>
          </cell>
          <cell r="Q221" t="str">
            <v>Non-Prime</v>
          </cell>
          <cell r="R221" t="str">
            <v>Non-Prime</v>
          </cell>
          <cell r="S221" t="str">
            <v>Non-Prime</v>
          </cell>
          <cell r="T221" t="str">
            <v>Non-Prime</v>
          </cell>
          <cell r="U221" t="str">
            <v>Non-Prime</v>
          </cell>
          <cell r="V221" t="str">
            <v>Prime</v>
          </cell>
          <cell r="W221" t="str">
            <v>Prime</v>
          </cell>
          <cell r="X221" t="str">
            <v>Prime</v>
          </cell>
          <cell r="Y221" t="str">
            <v>Prime</v>
          </cell>
          <cell r="Z221" t="str">
            <v>Non-Prime</v>
          </cell>
          <cell r="AA221" t="str">
            <v>Non-Prime</v>
          </cell>
          <cell r="AB221" t="str">
            <v>Non-Prime</v>
          </cell>
          <cell r="AC221" t="str">
            <v>Non-Prime</v>
          </cell>
          <cell r="AD221" t="str">
            <v>Non-Prime</v>
          </cell>
          <cell r="AE221" t="str">
            <v>Non-Prime</v>
          </cell>
          <cell r="AF221" t="str">
            <v>Non-Prime</v>
          </cell>
        </row>
        <row r="222">
          <cell r="A222" t="str">
            <v>Russia</v>
          </cell>
          <cell r="B222" t="str">
            <v>Non-Prime</v>
          </cell>
          <cell r="C222" t="str">
            <v>Non-Prime</v>
          </cell>
          <cell r="D222" t="str">
            <v>Non-Prime</v>
          </cell>
          <cell r="E222" t="str">
            <v>Non-Prime</v>
          </cell>
          <cell r="F222" t="str">
            <v>Non-Prime</v>
          </cell>
          <cell r="G222" t="str">
            <v>Non-Prime</v>
          </cell>
          <cell r="H222" t="str">
            <v>Non-Prime</v>
          </cell>
          <cell r="I222" t="str">
            <v>Non-Prime</v>
          </cell>
          <cell r="J222" t="str">
            <v>Non-Prime</v>
          </cell>
          <cell r="K222" t="str">
            <v>Non-Prime</v>
          </cell>
          <cell r="L222" t="str">
            <v>Non-Prime</v>
          </cell>
          <cell r="M222" t="str">
            <v>Non-Prime</v>
          </cell>
          <cell r="N222" t="str">
            <v>Non-Prime</v>
          </cell>
          <cell r="O222" t="str">
            <v>Non-Prime</v>
          </cell>
          <cell r="P222" t="str">
            <v>Non-Prime</v>
          </cell>
          <cell r="Q222" t="str">
            <v>Non-Prime</v>
          </cell>
          <cell r="R222" t="str">
            <v>Non-Prime</v>
          </cell>
          <cell r="S222" t="str">
            <v>Non-Prime</v>
          </cell>
          <cell r="T222" t="str">
            <v>Non-Prime</v>
          </cell>
          <cell r="U222" t="str">
            <v>Prime</v>
          </cell>
          <cell r="V222" t="str">
            <v>Prime</v>
          </cell>
          <cell r="W222" t="str">
            <v>Prime</v>
          </cell>
          <cell r="X222" t="str">
            <v>Prime</v>
          </cell>
          <cell r="Y222" t="str">
            <v>Prime</v>
          </cell>
          <cell r="Z222" t="str">
            <v>Non-Prime</v>
          </cell>
          <cell r="AA222" t="str">
            <v>Non-Prime</v>
          </cell>
          <cell r="AB222" t="str">
            <v>Non-Prime</v>
          </cell>
          <cell r="AC222" t="str">
            <v>Non-Prime</v>
          </cell>
          <cell r="AD222" t="str">
            <v>Non-Prime</v>
          </cell>
          <cell r="AE222" t="str">
            <v>Non-Prime</v>
          </cell>
          <cell r="AF222" t="str">
            <v>Non-Prime</v>
          </cell>
        </row>
        <row r="223">
          <cell r="A223" t="str">
            <v>Rwanda</v>
          </cell>
          <cell r="B223" t="str">
            <v>Non-Prime</v>
          </cell>
          <cell r="C223" t="str">
            <v>Non-Prime</v>
          </cell>
          <cell r="D223" t="str">
            <v>Non-Prime</v>
          </cell>
          <cell r="E223" t="str">
            <v>Non-Prime</v>
          </cell>
          <cell r="F223" t="str">
            <v>Non-Prime</v>
          </cell>
          <cell r="G223" t="str">
            <v>Non-Prime</v>
          </cell>
          <cell r="H223" t="str">
            <v>Non-Prime</v>
          </cell>
          <cell r="I223" t="str">
            <v>Non-Prime</v>
          </cell>
          <cell r="J223" t="str">
            <v>Non-Prime</v>
          </cell>
          <cell r="K223" t="str">
            <v>Non-Prime</v>
          </cell>
          <cell r="L223" t="str">
            <v>Non-Prime</v>
          </cell>
          <cell r="M223" t="str">
            <v>Non-Prime</v>
          </cell>
          <cell r="N223" t="str">
            <v>Non-Prime</v>
          </cell>
          <cell r="O223" t="str">
            <v>Non-Prime</v>
          </cell>
          <cell r="P223" t="str">
            <v>Non-Prime</v>
          </cell>
          <cell r="Q223" t="str">
            <v>Non-Prime</v>
          </cell>
          <cell r="R223" t="str">
            <v>Non-Prime</v>
          </cell>
          <cell r="S223" t="str">
            <v>Non-Prime</v>
          </cell>
          <cell r="T223" t="str">
            <v>Non-Prime</v>
          </cell>
          <cell r="U223" t="str">
            <v>Non-Prime</v>
          </cell>
          <cell r="V223" t="str">
            <v>Prime</v>
          </cell>
          <cell r="W223" t="str">
            <v>Prime</v>
          </cell>
          <cell r="X223" t="str">
            <v>Prime</v>
          </cell>
          <cell r="Y223" t="str">
            <v>Prime</v>
          </cell>
          <cell r="Z223" t="str">
            <v>Non-Prime</v>
          </cell>
          <cell r="AA223" t="str">
            <v>Non-Prime</v>
          </cell>
          <cell r="AB223" t="str">
            <v>Non-Prime</v>
          </cell>
          <cell r="AC223" t="str">
            <v>Non-Prime</v>
          </cell>
          <cell r="AD223" t="str">
            <v>Non-Prime</v>
          </cell>
          <cell r="AE223" t="str">
            <v>Non-Prime</v>
          </cell>
          <cell r="AF223" t="str">
            <v>Non-Prime</v>
          </cell>
        </row>
        <row r="224">
          <cell r="A224" t="str">
            <v>Saba</v>
          </cell>
          <cell r="B224" t="str">
            <v>Non-Prime</v>
          </cell>
          <cell r="C224" t="str">
            <v>Non-Prime</v>
          </cell>
          <cell r="D224" t="str">
            <v>Non-Prime</v>
          </cell>
          <cell r="E224" t="str">
            <v>Non-Prime</v>
          </cell>
          <cell r="F224" t="str">
            <v>Non-Prime</v>
          </cell>
          <cell r="G224" t="str">
            <v>Non-Prime</v>
          </cell>
          <cell r="H224" t="str">
            <v>Non-Prime</v>
          </cell>
          <cell r="I224" t="str">
            <v>Non-Prime</v>
          </cell>
          <cell r="J224" t="str">
            <v>Non-Prime</v>
          </cell>
          <cell r="K224" t="str">
            <v>Non-Prime</v>
          </cell>
          <cell r="L224" t="str">
            <v>Non-Prime</v>
          </cell>
          <cell r="M224" t="str">
            <v>Non-Prime</v>
          </cell>
          <cell r="N224" t="str">
            <v>Non-Prime</v>
          </cell>
          <cell r="O224" t="str">
            <v>Non-Prime</v>
          </cell>
          <cell r="P224" t="str">
            <v>Non-Prime</v>
          </cell>
          <cell r="Q224" t="str">
            <v>Non-Prime</v>
          </cell>
          <cell r="R224" t="str">
            <v>Non-Prime</v>
          </cell>
          <cell r="S224" t="str">
            <v>Non-Prime</v>
          </cell>
          <cell r="T224" t="str">
            <v>Prime</v>
          </cell>
          <cell r="U224" t="str">
            <v>Prime</v>
          </cell>
          <cell r="V224" t="str">
            <v>Prime</v>
          </cell>
          <cell r="W224" t="str">
            <v>Prime</v>
          </cell>
          <cell r="X224" t="str">
            <v>Prime</v>
          </cell>
          <cell r="Y224" t="str">
            <v>Prime</v>
          </cell>
          <cell r="Z224" t="str">
            <v>Non-Prime</v>
          </cell>
          <cell r="AA224" t="str">
            <v>Non-Prime</v>
          </cell>
          <cell r="AB224" t="str">
            <v>Non-Prime</v>
          </cell>
          <cell r="AC224" t="str">
            <v>Non-Prime</v>
          </cell>
          <cell r="AD224" t="str">
            <v>Non-Prime</v>
          </cell>
          <cell r="AE224" t="str">
            <v>Non-Prime</v>
          </cell>
          <cell r="AF224" t="str">
            <v>Non-Prime</v>
          </cell>
        </row>
        <row r="225">
          <cell r="A225" t="str">
            <v>Saint Barthelemy</v>
          </cell>
          <cell r="B225" t="str">
            <v>Non-Prime</v>
          </cell>
          <cell r="C225" t="str">
            <v>Non-Prime</v>
          </cell>
          <cell r="D225" t="str">
            <v>Non-Prime</v>
          </cell>
          <cell r="E225" t="str">
            <v>Non-Prime</v>
          </cell>
          <cell r="F225" t="str">
            <v>Non-Prime</v>
          </cell>
          <cell r="G225" t="str">
            <v>Non-Prime</v>
          </cell>
          <cell r="H225" t="str">
            <v>Non-Prime</v>
          </cell>
          <cell r="I225" t="str">
            <v>Non-Prime</v>
          </cell>
          <cell r="J225" t="str">
            <v>Non-Prime</v>
          </cell>
          <cell r="K225" t="str">
            <v>Non-Prime</v>
          </cell>
          <cell r="L225" t="str">
            <v>Non-Prime</v>
          </cell>
          <cell r="M225" t="str">
            <v>Non-Prime</v>
          </cell>
          <cell r="N225" t="str">
            <v>Non-Prime</v>
          </cell>
          <cell r="O225" t="str">
            <v>Non-Prime</v>
          </cell>
          <cell r="P225" t="str">
            <v>Non-Prime</v>
          </cell>
          <cell r="Q225" t="str">
            <v>Non-Prime</v>
          </cell>
          <cell r="R225" t="str">
            <v>Non-Prime</v>
          </cell>
          <cell r="S225" t="str">
            <v>Non-Prime</v>
          </cell>
          <cell r="T225" t="str">
            <v>Prime</v>
          </cell>
          <cell r="U225" t="str">
            <v>Prime</v>
          </cell>
          <cell r="V225" t="str">
            <v>Prime</v>
          </cell>
          <cell r="W225" t="str">
            <v>Prime</v>
          </cell>
          <cell r="X225" t="str">
            <v>Prime</v>
          </cell>
          <cell r="Y225" t="str">
            <v>Prime</v>
          </cell>
          <cell r="Z225" t="str">
            <v>Non-Prime</v>
          </cell>
          <cell r="AA225" t="str">
            <v>Non-Prime</v>
          </cell>
          <cell r="AB225" t="str">
            <v>Non-Prime</v>
          </cell>
          <cell r="AC225" t="str">
            <v>Non-Prime</v>
          </cell>
          <cell r="AD225" t="str">
            <v>Non-Prime</v>
          </cell>
          <cell r="AE225" t="str">
            <v>Non-Prime</v>
          </cell>
          <cell r="AF225" t="str">
            <v>Non-Prime</v>
          </cell>
        </row>
        <row r="226">
          <cell r="A226" t="str">
            <v>Saint Helena</v>
          </cell>
          <cell r="B226" t="str">
            <v>Non-Prime</v>
          </cell>
          <cell r="C226" t="str">
            <v>Non-Prime</v>
          </cell>
          <cell r="D226" t="str">
            <v>Non-Prime</v>
          </cell>
          <cell r="E226" t="str">
            <v>Non-Prime</v>
          </cell>
          <cell r="F226" t="str">
            <v>Non-Prime</v>
          </cell>
          <cell r="G226" t="str">
            <v>Non-Prime</v>
          </cell>
          <cell r="H226" t="str">
            <v>Non-Prime</v>
          </cell>
          <cell r="I226" t="str">
            <v>Non-Prime</v>
          </cell>
          <cell r="J226" t="str">
            <v>Non-Prime</v>
          </cell>
          <cell r="K226" t="str">
            <v>Non-Prime</v>
          </cell>
          <cell r="L226" t="str">
            <v>Non-Prime</v>
          </cell>
          <cell r="M226" t="str">
            <v>Non-Prime</v>
          </cell>
          <cell r="N226" t="str">
            <v>Non-Prime</v>
          </cell>
          <cell r="O226" t="str">
            <v>Non-Prime</v>
          </cell>
          <cell r="P226" t="str">
            <v>Non-Prime</v>
          </cell>
          <cell r="Q226" t="str">
            <v>Non-Prime</v>
          </cell>
          <cell r="R226" t="str">
            <v>Non-Prime</v>
          </cell>
          <cell r="S226" t="str">
            <v>Non-Prime</v>
          </cell>
          <cell r="T226" t="str">
            <v>Non-Prime</v>
          </cell>
          <cell r="U226" t="str">
            <v>Non-Prime</v>
          </cell>
          <cell r="V226" t="str">
            <v>Prime</v>
          </cell>
          <cell r="W226" t="str">
            <v>Prime</v>
          </cell>
          <cell r="X226" t="str">
            <v>Prime</v>
          </cell>
          <cell r="Y226" t="str">
            <v>Prime</v>
          </cell>
          <cell r="Z226" t="str">
            <v>Non-Prime</v>
          </cell>
          <cell r="AA226" t="str">
            <v>Non-Prime</v>
          </cell>
          <cell r="AB226" t="str">
            <v>Non-Prime</v>
          </cell>
          <cell r="AC226" t="str">
            <v>Non-Prime</v>
          </cell>
          <cell r="AD226" t="str">
            <v>Non-Prime</v>
          </cell>
          <cell r="AE226" t="str">
            <v>Non-Prime</v>
          </cell>
          <cell r="AF226" t="str">
            <v>Non-Prime</v>
          </cell>
        </row>
        <row r="227">
          <cell r="A227" t="str">
            <v>Saint Kitts &amp; Nevis</v>
          </cell>
          <cell r="B227" t="str">
            <v>Non-Prime</v>
          </cell>
          <cell r="C227" t="str">
            <v>Non-Prime</v>
          </cell>
          <cell r="D227" t="str">
            <v>Non-Prime</v>
          </cell>
          <cell r="E227" t="str">
            <v>Non-Prime</v>
          </cell>
          <cell r="F227" t="str">
            <v>Non-Prime</v>
          </cell>
          <cell r="G227" t="str">
            <v>Non-Prime</v>
          </cell>
          <cell r="H227" t="str">
            <v>Non-Prime</v>
          </cell>
          <cell r="I227" t="str">
            <v>Non-Prime</v>
          </cell>
          <cell r="J227" t="str">
            <v>Non-Prime</v>
          </cell>
          <cell r="K227" t="str">
            <v>Non-Prime</v>
          </cell>
          <cell r="L227" t="str">
            <v>Non-Prime</v>
          </cell>
          <cell r="M227" t="str">
            <v>Non-Prime</v>
          </cell>
          <cell r="N227" t="str">
            <v>Non-Prime</v>
          </cell>
          <cell r="O227" t="str">
            <v>Non-Prime</v>
          </cell>
          <cell r="P227" t="str">
            <v>Non-Prime</v>
          </cell>
          <cell r="Q227" t="str">
            <v>Non-Prime</v>
          </cell>
          <cell r="R227" t="str">
            <v>Non-Prime</v>
          </cell>
          <cell r="S227" t="str">
            <v>Non-Prime</v>
          </cell>
          <cell r="T227" t="str">
            <v>Non-Prime</v>
          </cell>
          <cell r="U227" t="str">
            <v>Non-Prime</v>
          </cell>
          <cell r="V227" t="str">
            <v>Prime</v>
          </cell>
          <cell r="W227" t="str">
            <v>Prime</v>
          </cell>
          <cell r="X227" t="str">
            <v>Prime</v>
          </cell>
          <cell r="Y227" t="str">
            <v>Prime</v>
          </cell>
          <cell r="Z227" t="str">
            <v>Non-Prime</v>
          </cell>
          <cell r="AA227" t="str">
            <v>Non-Prime</v>
          </cell>
          <cell r="AB227" t="str">
            <v>Non-Prime</v>
          </cell>
          <cell r="AC227" t="str">
            <v>Non-Prime</v>
          </cell>
          <cell r="AD227" t="str">
            <v>Non-Prime</v>
          </cell>
          <cell r="AE227" t="str">
            <v>Non-Prime</v>
          </cell>
          <cell r="AF227" t="str">
            <v>Non-Prime</v>
          </cell>
        </row>
        <row r="228">
          <cell r="A228" t="str">
            <v>Saint Lucia</v>
          </cell>
          <cell r="B228" t="str">
            <v>Non-Prime</v>
          </cell>
          <cell r="C228" t="str">
            <v>Non-Prime</v>
          </cell>
          <cell r="D228" t="str">
            <v>Non-Prime</v>
          </cell>
          <cell r="E228" t="str">
            <v>Non-Prime</v>
          </cell>
          <cell r="F228" t="str">
            <v>Non-Prime</v>
          </cell>
          <cell r="G228" t="str">
            <v>Non-Prime</v>
          </cell>
          <cell r="H228" t="str">
            <v>Non-Prime</v>
          </cell>
          <cell r="I228" t="str">
            <v>Non-Prime</v>
          </cell>
          <cell r="J228" t="str">
            <v>Non-Prime</v>
          </cell>
          <cell r="K228" t="str">
            <v>Non-Prime</v>
          </cell>
          <cell r="L228" t="str">
            <v>Non-Prime</v>
          </cell>
          <cell r="M228" t="str">
            <v>Non-Prime</v>
          </cell>
          <cell r="N228" t="str">
            <v>Non-Prime</v>
          </cell>
          <cell r="O228" t="str">
            <v>Non-Prime</v>
          </cell>
          <cell r="P228" t="str">
            <v>Non-Prime</v>
          </cell>
          <cell r="Q228" t="str">
            <v>Non-Prime</v>
          </cell>
          <cell r="R228" t="str">
            <v>Non-Prime</v>
          </cell>
          <cell r="S228" t="str">
            <v>Non-Prime</v>
          </cell>
          <cell r="T228" t="str">
            <v>Non-Prime</v>
          </cell>
          <cell r="U228" t="str">
            <v>Non-Prime</v>
          </cell>
          <cell r="V228" t="str">
            <v>Prime</v>
          </cell>
          <cell r="W228" t="str">
            <v>Prime</v>
          </cell>
          <cell r="X228" t="str">
            <v>Prime</v>
          </cell>
          <cell r="Y228" t="str">
            <v>Prime</v>
          </cell>
          <cell r="Z228" t="str">
            <v>Non-Prime</v>
          </cell>
          <cell r="AA228" t="str">
            <v>Non-Prime</v>
          </cell>
          <cell r="AB228" t="str">
            <v>Non-Prime</v>
          </cell>
          <cell r="AC228" t="str">
            <v>Non-Prime</v>
          </cell>
          <cell r="AD228" t="str">
            <v>Non-Prime</v>
          </cell>
          <cell r="AE228" t="str">
            <v>Non-Prime</v>
          </cell>
          <cell r="AF228" t="str">
            <v>Non-Prime</v>
          </cell>
        </row>
        <row r="229">
          <cell r="A229" t="str">
            <v>Saint Martin</v>
          </cell>
          <cell r="B229" t="str">
            <v>Non-Prime</v>
          </cell>
          <cell r="C229" t="str">
            <v>Non-Prime</v>
          </cell>
          <cell r="D229" t="str">
            <v>Non-Prime</v>
          </cell>
          <cell r="E229" t="str">
            <v>Non-Prime</v>
          </cell>
          <cell r="F229" t="str">
            <v>Non-Prime</v>
          </cell>
          <cell r="G229" t="str">
            <v>Non-Prime</v>
          </cell>
          <cell r="H229" t="str">
            <v>Non-Prime</v>
          </cell>
          <cell r="I229" t="str">
            <v>Non-Prime</v>
          </cell>
          <cell r="J229" t="str">
            <v>Non-Prime</v>
          </cell>
          <cell r="K229" t="str">
            <v>Non-Prime</v>
          </cell>
          <cell r="L229" t="str">
            <v>Non-Prime</v>
          </cell>
          <cell r="M229" t="str">
            <v>Non-Prime</v>
          </cell>
          <cell r="N229" t="str">
            <v>Non-Prime</v>
          </cell>
          <cell r="O229" t="str">
            <v>Non-Prime</v>
          </cell>
          <cell r="P229" t="str">
            <v>Non-Prime</v>
          </cell>
          <cell r="Q229" t="str">
            <v>Non-Prime</v>
          </cell>
          <cell r="R229" t="str">
            <v>Non-Prime</v>
          </cell>
          <cell r="S229" t="str">
            <v>Non-Prime</v>
          </cell>
          <cell r="T229" t="str">
            <v>Non-Prime</v>
          </cell>
          <cell r="U229" t="str">
            <v>Non-Prime</v>
          </cell>
          <cell r="V229" t="str">
            <v>Prime</v>
          </cell>
          <cell r="W229" t="str">
            <v>Prime</v>
          </cell>
          <cell r="X229" t="str">
            <v>Prime</v>
          </cell>
          <cell r="Y229" t="str">
            <v>Prime</v>
          </cell>
          <cell r="Z229" t="str">
            <v>Non-Prime</v>
          </cell>
          <cell r="AA229" t="str">
            <v>Non-Prime</v>
          </cell>
          <cell r="AB229" t="str">
            <v>Non-Prime</v>
          </cell>
          <cell r="AC229" t="str">
            <v>Non-Prime</v>
          </cell>
          <cell r="AD229" t="str">
            <v>Non-Prime</v>
          </cell>
          <cell r="AE229" t="str">
            <v>Non-Prime</v>
          </cell>
          <cell r="AF229" t="str">
            <v>Non-Prime</v>
          </cell>
        </row>
        <row r="230">
          <cell r="A230" t="str">
            <v>Saint Pierre &amp; Miquelon</v>
          </cell>
          <cell r="B230" t="str">
            <v>Non-Prime</v>
          </cell>
          <cell r="C230" t="str">
            <v>Non-Prime</v>
          </cell>
          <cell r="D230" t="str">
            <v>Non-Prime</v>
          </cell>
          <cell r="E230" t="str">
            <v>Non-Prime</v>
          </cell>
          <cell r="F230" t="str">
            <v>Non-Prime</v>
          </cell>
          <cell r="G230" t="str">
            <v>Non-Prime</v>
          </cell>
          <cell r="H230" t="str">
            <v>Non-Prime</v>
          </cell>
          <cell r="I230" t="str">
            <v>Non-Prime</v>
          </cell>
          <cell r="J230" t="str">
            <v>Non-Prime</v>
          </cell>
          <cell r="K230" t="str">
            <v>Non-Prime</v>
          </cell>
          <cell r="L230" t="str">
            <v>Non-Prime</v>
          </cell>
          <cell r="M230" t="str">
            <v>Non-Prime</v>
          </cell>
          <cell r="N230" t="str">
            <v>Non-Prime</v>
          </cell>
          <cell r="O230" t="str">
            <v>Non-Prime</v>
          </cell>
          <cell r="P230" t="str">
            <v>Non-Prime</v>
          </cell>
          <cell r="Q230" t="str">
            <v>Non-Prime</v>
          </cell>
          <cell r="R230" t="str">
            <v>Non-Prime</v>
          </cell>
          <cell r="S230" t="str">
            <v>Non-Prime</v>
          </cell>
          <cell r="T230" t="str">
            <v>Non-Prime</v>
          </cell>
          <cell r="U230" t="str">
            <v>Non-Prime</v>
          </cell>
          <cell r="V230" t="str">
            <v>Prime</v>
          </cell>
          <cell r="W230" t="str">
            <v>Prime</v>
          </cell>
          <cell r="X230" t="str">
            <v>Prime</v>
          </cell>
          <cell r="Y230" t="str">
            <v>Prime</v>
          </cell>
          <cell r="Z230" t="str">
            <v>Non-Prime</v>
          </cell>
          <cell r="AA230" t="str">
            <v>Non-Prime</v>
          </cell>
          <cell r="AB230" t="str">
            <v>Non-Prime</v>
          </cell>
          <cell r="AC230" t="str">
            <v>Non-Prime</v>
          </cell>
          <cell r="AD230" t="str">
            <v>Non-Prime</v>
          </cell>
          <cell r="AE230" t="str">
            <v>Non-Prime</v>
          </cell>
          <cell r="AF230" t="str">
            <v>Non-Prime</v>
          </cell>
        </row>
        <row r="231">
          <cell r="A231" t="str">
            <v>Saint Vincent &amp; the Grenadines</v>
          </cell>
          <cell r="B231" t="str">
            <v>Non-Prime</v>
          </cell>
          <cell r="C231" t="str">
            <v>Non-Prime</v>
          </cell>
          <cell r="D231" t="str">
            <v>Non-Prime</v>
          </cell>
          <cell r="E231" t="str">
            <v>Non-Prime</v>
          </cell>
          <cell r="F231" t="str">
            <v>Non-Prime</v>
          </cell>
          <cell r="G231" t="str">
            <v>Non-Prime</v>
          </cell>
          <cell r="H231" t="str">
            <v>Non-Prime</v>
          </cell>
          <cell r="I231" t="str">
            <v>Non-Prime</v>
          </cell>
          <cell r="J231" t="str">
            <v>Non-Prime</v>
          </cell>
          <cell r="K231" t="str">
            <v>Non-Prime</v>
          </cell>
          <cell r="L231" t="str">
            <v>Non-Prime</v>
          </cell>
          <cell r="M231" t="str">
            <v>Non-Prime</v>
          </cell>
          <cell r="N231" t="str">
            <v>Non-Prime</v>
          </cell>
          <cell r="O231" t="str">
            <v>Non-Prime</v>
          </cell>
          <cell r="P231" t="str">
            <v>Non-Prime</v>
          </cell>
          <cell r="Q231" t="str">
            <v>Non-Prime</v>
          </cell>
          <cell r="R231" t="str">
            <v>Non-Prime</v>
          </cell>
          <cell r="S231" t="str">
            <v>Non-Prime</v>
          </cell>
          <cell r="T231" t="str">
            <v>Non-Prime</v>
          </cell>
          <cell r="U231" t="str">
            <v>Non-Prime</v>
          </cell>
          <cell r="V231" t="str">
            <v>Prime</v>
          </cell>
          <cell r="W231" t="str">
            <v>Prime</v>
          </cell>
          <cell r="X231" t="str">
            <v>Prime</v>
          </cell>
          <cell r="Y231" t="str">
            <v>Prime</v>
          </cell>
          <cell r="Z231" t="str">
            <v>Non-Prime</v>
          </cell>
          <cell r="AA231" t="str">
            <v>Non-Prime</v>
          </cell>
          <cell r="AB231" t="str">
            <v>Non-Prime</v>
          </cell>
          <cell r="AC231" t="str">
            <v>Non-Prime</v>
          </cell>
          <cell r="AD231" t="str">
            <v>Non-Prime</v>
          </cell>
          <cell r="AE231" t="str">
            <v>Non-Prime</v>
          </cell>
          <cell r="AF231" t="str">
            <v>Non-Prime</v>
          </cell>
        </row>
        <row r="232">
          <cell r="A232" t="str">
            <v>Samoa</v>
          </cell>
          <cell r="B232" t="str">
            <v>Non-Prime</v>
          </cell>
          <cell r="C232" t="str">
            <v>Non-Prime</v>
          </cell>
          <cell r="D232" t="str">
            <v>Non-Prime</v>
          </cell>
          <cell r="E232" t="str">
            <v>Non-Prime</v>
          </cell>
          <cell r="F232" t="str">
            <v>Non-Prime</v>
          </cell>
          <cell r="G232" t="str">
            <v>Non-Prime</v>
          </cell>
          <cell r="H232" t="str">
            <v>Non-Prime</v>
          </cell>
          <cell r="I232" t="str">
            <v>Non-Prime</v>
          </cell>
          <cell r="J232" t="str">
            <v>Non-Prime</v>
          </cell>
          <cell r="K232" t="str">
            <v>Non-Prime</v>
          </cell>
          <cell r="L232" t="str">
            <v>Non-Prime</v>
          </cell>
          <cell r="M232" t="str">
            <v>Non-Prime</v>
          </cell>
          <cell r="N232" t="str">
            <v>Non-Prime</v>
          </cell>
          <cell r="O232" t="str">
            <v>Non-Prime</v>
          </cell>
          <cell r="P232" t="str">
            <v>Non-Prime</v>
          </cell>
          <cell r="Q232" t="str">
            <v>Non-Prime</v>
          </cell>
          <cell r="R232" t="str">
            <v>Non-Prime</v>
          </cell>
          <cell r="S232" t="str">
            <v>Non-Prime</v>
          </cell>
          <cell r="T232" t="str">
            <v>Non-Prime</v>
          </cell>
          <cell r="U232" t="str">
            <v>Non-Prime</v>
          </cell>
          <cell r="V232" t="str">
            <v>Prime</v>
          </cell>
          <cell r="W232" t="str">
            <v>Prime</v>
          </cell>
          <cell r="X232" t="str">
            <v>Prime</v>
          </cell>
          <cell r="Y232" t="str">
            <v>Prime</v>
          </cell>
          <cell r="Z232" t="str">
            <v>Non-Prime</v>
          </cell>
          <cell r="AA232" t="str">
            <v>Non-Prime</v>
          </cell>
          <cell r="AB232" t="str">
            <v>Non-Prime</v>
          </cell>
          <cell r="AC232" t="str">
            <v>Non-Prime</v>
          </cell>
          <cell r="AD232" t="str">
            <v>Non-Prime</v>
          </cell>
          <cell r="AE232" t="str">
            <v>Non-Prime</v>
          </cell>
          <cell r="AF232" t="str">
            <v>Non-Prime</v>
          </cell>
        </row>
        <row r="233">
          <cell r="A233" t="str">
            <v>San Marino</v>
          </cell>
          <cell r="B233" t="str">
            <v>Non-Prime</v>
          </cell>
          <cell r="C233" t="str">
            <v>Non-Prime</v>
          </cell>
          <cell r="D233" t="str">
            <v>Non-Prime</v>
          </cell>
          <cell r="E233" t="str">
            <v>Non-Prime</v>
          </cell>
          <cell r="F233" t="str">
            <v>Non-Prime</v>
          </cell>
          <cell r="G233" t="str">
            <v>Non-Prime</v>
          </cell>
          <cell r="H233" t="str">
            <v>Non-Prime</v>
          </cell>
          <cell r="I233" t="str">
            <v>Non-Prime</v>
          </cell>
          <cell r="J233" t="str">
            <v>Non-Prime</v>
          </cell>
          <cell r="K233" t="str">
            <v>Non-Prime</v>
          </cell>
          <cell r="L233" t="str">
            <v>Non-Prime</v>
          </cell>
          <cell r="M233" t="str">
            <v>Non-Prime</v>
          </cell>
          <cell r="N233" t="str">
            <v>Non-Prime</v>
          </cell>
          <cell r="O233" t="str">
            <v>Non-Prime</v>
          </cell>
          <cell r="P233" t="str">
            <v>Non-Prime</v>
          </cell>
          <cell r="Q233" t="str">
            <v>Non-Prime</v>
          </cell>
          <cell r="R233" t="str">
            <v>Non-Prime</v>
          </cell>
          <cell r="S233" t="str">
            <v>Non-Prime</v>
          </cell>
          <cell r="T233" t="str">
            <v>Non-Prime</v>
          </cell>
          <cell r="U233" t="str">
            <v>Non-Prime</v>
          </cell>
          <cell r="V233" t="str">
            <v>Prime</v>
          </cell>
          <cell r="W233" t="str">
            <v>Prime</v>
          </cell>
          <cell r="X233" t="str">
            <v>Prime</v>
          </cell>
          <cell r="Y233" t="str">
            <v>Prime</v>
          </cell>
          <cell r="Z233" t="str">
            <v>Non-Prime</v>
          </cell>
          <cell r="AA233" t="str">
            <v>Non-Prime</v>
          </cell>
          <cell r="AB233" t="str">
            <v>Non-Prime</v>
          </cell>
          <cell r="AC233" t="str">
            <v>Non-Prime</v>
          </cell>
          <cell r="AD233" t="str">
            <v>Non-Prime</v>
          </cell>
          <cell r="AE233" t="str">
            <v>Non-Prime</v>
          </cell>
          <cell r="AF233" t="str">
            <v>Non-Prime</v>
          </cell>
        </row>
        <row r="234">
          <cell r="A234" t="str">
            <v>Sao Tome &amp; Principe</v>
          </cell>
          <cell r="B234" t="str">
            <v>Non-Prime</v>
          </cell>
          <cell r="C234" t="str">
            <v>Non-Prime</v>
          </cell>
          <cell r="D234" t="str">
            <v>Non-Prime</v>
          </cell>
          <cell r="E234" t="str">
            <v>Non-Prime</v>
          </cell>
          <cell r="F234" t="str">
            <v>Non-Prime</v>
          </cell>
          <cell r="G234" t="str">
            <v>Non-Prime</v>
          </cell>
          <cell r="H234" t="str">
            <v>Non-Prime</v>
          </cell>
          <cell r="I234" t="str">
            <v>Non-Prime</v>
          </cell>
          <cell r="J234" t="str">
            <v>Non-Prime</v>
          </cell>
          <cell r="K234" t="str">
            <v>Non-Prime</v>
          </cell>
          <cell r="L234" t="str">
            <v>Non-Prime</v>
          </cell>
          <cell r="M234" t="str">
            <v>Non-Prime</v>
          </cell>
          <cell r="N234" t="str">
            <v>Non-Prime</v>
          </cell>
          <cell r="O234" t="str">
            <v>Non-Prime</v>
          </cell>
          <cell r="P234" t="str">
            <v>Non-Prime</v>
          </cell>
          <cell r="Q234" t="str">
            <v>Non-Prime</v>
          </cell>
          <cell r="R234" t="str">
            <v>Non-Prime</v>
          </cell>
          <cell r="S234" t="str">
            <v>Non-Prime</v>
          </cell>
          <cell r="T234" t="str">
            <v>Non-Prime</v>
          </cell>
          <cell r="U234" t="str">
            <v>Non-Prime</v>
          </cell>
          <cell r="V234" t="str">
            <v>Prime</v>
          </cell>
          <cell r="W234" t="str">
            <v>Prime</v>
          </cell>
          <cell r="X234" t="str">
            <v>Prime</v>
          </cell>
          <cell r="Y234" t="str">
            <v>Prime</v>
          </cell>
          <cell r="Z234" t="str">
            <v>Non-Prime</v>
          </cell>
          <cell r="AA234" t="str">
            <v>Non-Prime</v>
          </cell>
          <cell r="AB234" t="str">
            <v>Non-Prime</v>
          </cell>
          <cell r="AC234" t="str">
            <v>Non-Prime</v>
          </cell>
          <cell r="AD234" t="str">
            <v>Non-Prime</v>
          </cell>
          <cell r="AE234" t="str">
            <v>Non-Prime</v>
          </cell>
          <cell r="AF234" t="str">
            <v>Non-Prime</v>
          </cell>
        </row>
        <row r="235">
          <cell r="A235" t="str">
            <v>Saudi Arabia</v>
          </cell>
          <cell r="B235" t="str">
            <v>Non-Prime</v>
          </cell>
          <cell r="C235" t="str">
            <v>Non-Prime</v>
          </cell>
          <cell r="D235" t="str">
            <v>Non-Prime</v>
          </cell>
          <cell r="E235" t="str">
            <v>Non-Prime</v>
          </cell>
          <cell r="F235" t="str">
            <v>Non-Prime</v>
          </cell>
          <cell r="G235" t="str">
            <v>Non-Prime</v>
          </cell>
          <cell r="H235" t="str">
            <v>Non-Prime</v>
          </cell>
          <cell r="I235" t="str">
            <v>Non-Prime</v>
          </cell>
          <cell r="J235" t="str">
            <v>Non-Prime</v>
          </cell>
          <cell r="K235" t="str">
            <v>Non-Prime</v>
          </cell>
          <cell r="L235" t="str">
            <v>Non-Prime</v>
          </cell>
          <cell r="M235" t="str">
            <v>Non-Prime</v>
          </cell>
          <cell r="N235" t="str">
            <v>Non-Prime</v>
          </cell>
          <cell r="O235" t="str">
            <v>Non-Prime</v>
          </cell>
          <cell r="P235" t="str">
            <v>Non-Prime</v>
          </cell>
          <cell r="Q235" t="str">
            <v>Non-Prime</v>
          </cell>
          <cell r="R235" t="str">
            <v>Non-Prime</v>
          </cell>
          <cell r="S235" t="str">
            <v>Non-Prime</v>
          </cell>
          <cell r="T235" t="str">
            <v>Non-Prime</v>
          </cell>
          <cell r="U235" t="str">
            <v>Non-Prime</v>
          </cell>
          <cell r="V235" t="str">
            <v>Prime</v>
          </cell>
          <cell r="W235" t="str">
            <v>Prime</v>
          </cell>
          <cell r="X235" t="str">
            <v>Prime</v>
          </cell>
          <cell r="Y235" t="str">
            <v>Prime</v>
          </cell>
          <cell r="Z235" t="str">
            <v>Non-Prime</v>
          </cell>
          <cell r="AA235" t="str">
            <v>Non-Prime</v>
          </cell>
          <cell r="AB235" t="str">
            <v>Non-Prime</v>
          </cell>
          <cell r="AC235" t="str">
            <v>Non-Prime</v>
          </cell>
          <cell r="AD235" t="str">
            <v>Non-Prime</v>
          </cell>
          <cell r="AE235" t="str">
            <v>Non-Prime</v>
          </cell>
          <cell r="AF235" t="str">
            <v>Non-Prime</v>
          </cell>
        </row>
        <row r="236">
          <cell r="A236" t="str">
            <v>Scotland</v>
          </cell>
          <cell r="B236" t="str">
            <v>Non-Prime</v>
          </cell>
          <cell r="C236" t="str">
            <v>Non-Prime</v>
          </cell>
          <cell r="D236" t="str">
            <v>Non-Prime</v>
          </cell>
          <cell r="E236" t="str">
            <v>Non-Prime</v>
          </cell>
          <cell r="F236" t="str">
            <v>Non-Prime</v>
          </cell>
          <cell r="G236" t="str">
            <v>Non-Prime</v>
          </cell>
          <cell r="H236" t="str">
            <v>Non-Prime</v>
          </cell>
          <cell r="I236" t="str">
            <v>Non-Prime</v>
          </cell>
          <cell r="J236" t="str">
            <v>Non-Prime</v>
          </cell>
          <cell r="K236" t="str">
            <v>Non-Prime</v>
          </cell>
          <cell r="L236" t="str">
            <v>Non-Prime</v>
          </cell>
          <cell r="M236" t="str">
            <v>Non-Prime</v>
          </cell>
          <cell r="N236" t="str">
            <v>Non-Prime</v>
          </cell>
          <cell r="O236" t="str">
            <v>Non-Prime</v>
          </cell>
          <cell r="P236" t="str">
            <v>Non-Prime</v>
          </cell>
          <cell r="Q236" t="str">
            <v>Non-Prime</v>
          </cell>
          <cell r="R236" t="str">
            <v>Non-Prime</v>
          </cell>
          <cell r="S236" t="str">
            <v>Non-Prime</v>
          </cell>
          <cell r="T236" t="str">
            <v>Non-Prime</v>
          </cell>
          <cell r="U236" t="str">
            <v>Non-Prime</v>
          </cell>
          <cell r="V236" t="str">
            <v>Non-Prime</v>
          </cell>
          <cell r="W236" t="str">
            <v>Prime</v>
          </cell>
          <cell r="X236" t="str">
            <v>Prime</v>
          </cell>
          <cell r="Y236" t="str">
            <v>Prime</v>
          </cell>
          <cell r="Z236" t="str">
            <v>Non-Prime</v>
          </cell>
          <cell r="AA236" t="str">
            <v>Non-Prime</v>
          </cell>
          <cell r="AB236" t="str">
            <v>Non-Prime</v>
          </cell>
          <cell r="AC236" t="str">
            <v>Non-Prime</v>
          </cell>
          <cell r="AD236" t="str">
            <v>Non-Prime</v>
          </cell>
          <cell r="AE236" t="str">
            <v>Non-Prime</v>
          </cell>
          <cell r="AF236" t="str">
            <v>Non-Prime</v>
          </cell>
        </row>
        <row r="237">
          <cell r="A237" t="str">
            <v>Senegal</v>
          </cell>
          <cell r="B237" t="str">
            <v>Non-Prime</v>
          </cell>
          <cell r="C237" t="str">
            <v>Non-Prime</v>
          </cell>
          <cell r="D237" t="str">
            <v>Non-Prime</v>
          </cell>
          <cell r="E237" t="str">
            <v>Non-Prime</v>
          </cell>
          <cell r="F237" t="str">
            <v>Non-Prime</v>
          </cell>
          <cell r="G237" t="str">
            <v>Non-Prime</v>
          </cell>
          <cell r="H237" t="str">
            <v>Non-Prime</v>
          </cell>
          <cell r="I237" t="str">
            <v>Non-Prime</v>
          </cell>
          <cell r="J237" t="str">
            <v>Non-Prime</v>
          </cell>
          <cell r="K237" t="str">
            <v>Non-Prime</v>
          </cell>
          <cell r="L237" t="str">
            <v>Non-Prime</v>
          </cell>
          <cell r="M237" t="str">
            <v>Non-Prime</v>
          </cell>
          <cell r="N237" t="str">
            <v>Non-Prime</v>
          </cell>
          <cell r="O237" t="str">
            <v>Non-Prime</v>
          </cell>
          <cell r="P237" t="str">
            <v>Non-Prime</v>
          </cell>
          <cell r="Q237" t="str">
            <v>Non-Prime</v>
          </cell>
          <cell r="R237" t="str">
            <v>Non-Prime</v>
          </cell>
          <cell r="S237" t="str">
            <v>Non-Prime</v>
          </cell>
          <cell r="T237" t="str">
            <v>Prime</v>
          </cell>
          <cell r="U237" t="str">
            <v>Prime</v>
          </cell>
          <cell r="V237" t="str">
            <v>Prime</v>
          </cell>
          <cell r="W237" t="str">
            <v>Prime</v>
          </cell>
          <cell r="X237" t="str">
            <v>Prime</v>
          </cell>
          <cell r="Y237" t="str">
            <v>Non-Prime</v>
          </cell>
          <cell r="Z237" t="str">
            <v>Non-Prime</v>
          </cell>
          <cell r="AA237" t="str">
            <v>Non-Prime</v>
          </cell>
          <cell r="AB237" t="str">
            <v>Non-Prime</v>
          </cell>
          <cell r="AC237" t="str">
            <v>Non-Prime</v>
          </cell>
          <cell r="AD237" t="str">
            <v>Non-Prime</v>
          </cell>
          <cell r="AE237" t="str">
            <v>Non-Prime</v>
          </cell>
          <cell r="AF237" t="str">
            <v>Non-Prime</v>
          </cell>
        </row>
        <row r="238">
          <cell r="A238" t="str">
            <v>Serbia</v>
          </cell>
          <cell r="B238" t="str">
            <v>Non-Prime</v>
          </cell>
          <cell r="C238" t="str">
            <v>Non-Prime</v>
          </cell>
          <cell r="D238" t="str">
            <v>Non-Prime</v>
          </cell>
          <cell r="E238" t="str">
            <v>Non-Prime</v>
          </cell>
          <cell r="F238" t="str">
            <v>Non-Prime</v>
          </cell>
          <cell r="G238" t="str">
            <v>Non-Prime</v>
          </cell>
          <cell r="H238" t="str">
            <v>Non-Prime</v>
          </cell>
          <cell r="I238" t="str">
            <v>Non-Prime</v>
          </cell>
          <cell r="J238" t="str">
            <v>Non-Prime</v>
          </cell>
          <cell r="K238" t="str">
            <v>Non-Prime</v>
          </cell>
          <cell r="L238" t="str">
            <v>Non-Prime</v>
          </cell>
          <cell r="M238" t="str">
            <v>Non-Prime</v>
          </cell>
          <cell r="N238" t="str">
            <v>Non-Prime</v>
          </cell>
          <cell r="O238" t="str">
            <v>Non-Prime</v>
          </cell>
          <cell r="P238" t="str">
            <v>Non-Prime</v>
          </cell>
          <cell r="Q238" t="str">
            <v>Non-Prime</v>
          </cell>
          <cell r="R238" t="str">
            <v>Non-Prime</v>
          </cell>
          <cell r="S238" t="str">
            <v>Non-Prime</v>
          </cell>
          <cell r="T238" t="str">
            <v>Prime</v>
          </cell>
          <cell r="U238" t="str">
            <v>Prime</v>
          </cell>
          <cell r="V238" t="str">
            <v>Prime</v>
          </cell>
          <cell r="W238" t="str">
            <v>Prime</v>
          </cell>
          <cell r="X238" t="str">
            <v>Prime</v>
          </cell>
          <cell r="Y238" t="str">
            <v>Prime</v>
          </cell>
          <cell r="Z238" t="str">
            <v>Non-Prime</v>
          </cell>
          <cell r="AA238" t="str">
            <v>Non-Prime</v>
          </cell>
          <cell r="AB238" t="str">
            <v>Non-Prime</v>
          </cell>
          <cell r="AC238" t="str">
            <v>Non-Prime</v>
          </cell>
          <cell r="AD238" t="str">
            <v>Non-Prime</v>
          </cell>
          <cell r="AE238" t="str">
            <v>Non-Prime</v>
          </cell>
          <cell r="AF238" t="str">
            <v>Non-Prime</v>
          </cell>
        </row>
        <row r="239">
          <cell r="A239" t="str">
            <v>Seychelles</v>
          </cell>
          <cell r="B239" t="str">
            <v>Non-Prime</v>
          </cell>
          <cell r="C239" t="str">
            <v>Non-Prime</v>
          </cell>
          <cell r="D239" t="str">
            <v>Non-Prime</v>
          </cell>
          <cell r="E239" t="str">
            <v>Non-Prime</v>
          </cell>
          <cell r="F239" t="str">
            <v>Non-Prime</v>
          </cell>
          <cell r="G239" t="str">
            <v>Non-Prime</v>
          </cell>
          <cell r="H239" t="str">
            <v>Non-Prime</v>
          </cell>
          <cell r="I239" t="str">
            <v>Non-Prime</v>
          </cell>
          <cell r="J239" t="str">
            <v>Non-Prime</v>
          </cell>
          <cell r="K239" t="str">
            <v>Non-Prime</v>
          </cell>
          <cell r="L239" t="str">
            <v>Non-Prime</v>
          </cell>
          <cell r="M239" t="str">
            <v>Non-Prime</v>
          </cell>
          <cell r="N239" t="str">
            <v>Non-Prime</v>
          </cell>
          <cell r="O239" t="str">
            <v>Non-Prime</v>
          </cell>
          <cell r="P239" t="str">
            <v>Non-Prime</v>
          </cell>
          <cell r="Q239" t="str">
            <v>Non-Prime</v>
          </cell>
          <cell r="R239" t="str">
            <v>Non-Prime</v>
          </cell>
          <cell r="S239" t="str">
            <v>Non-Prime</v>
          </cell>
          <cell r="T239" t="str">
            <v>Non-Prime</v>
          </cell>
          <cell r="U239" t="str">
            <v>Prime</v>
          </cell>
          <cell r="V239" t="str">
            <v>Prime</v>
          </cell>
          <cell r="W239" t="str">
            <v>Prime</v>
          </cell>
          <cell r="X239" t="str">
            <v>Prime</v>
          </cell>
          <cell r="Y239" t="str">
            <v>Non-Prime</v>
          </cell>
          <cell r="Z239" t="str">
            <v>Non-Prime</v>
          </cell>
          <cell r="AA239" t="str">
            <v>Non-Prime</v>
          </cell>
          <cell r="AB239" t="str">
            <v>Non-Prime</v>
          </cell>
          <cell r="AC239" t="str">
            <v>Non-Prime</v>
          </cell>
          <cell r="AD239" t="str">
            <v>Non-Prime</v>
          </cell>
          <cell r="AE239" t="str">
            <v>Non-Prime</v>
          </cell>
          <cell r="AF239" t="str">
            <v>Non-Prime</v>
          </cell>
        </row>
        <row r="240">
          <cell r="A240" t="str">
            <v>Sierra Leone</v>
          </cell>
          <cell r="B240" t="str">
            <v>Non-Prime</v>
          </cell>
          <cell r="C240" t="str">
            <v>Non-Prime</v>
          </cell>
          <cell r="D240" t="str">
            <v>Non-Prime</v>
          </cell>
          <cell r="E240" t="str">
            <v>Non-Prime</v>
          </cell>
          <cell r="F240" t="str">
            <v>Non-Prime</v>
          </cell>
          <cell r="G240" t="str">
            <v>Non-Prime</v>
          </cell>
          <cell r="H240" t="str">
            <v>Non-Prime</v>
          </cell>
          <cell r="I240" t="str">
            <v>Non-Prime</v>
          </cell>
          <cell r="J240" t="str">
            <v>Non-Prime</v>
          </cell>
          <cell r="K240" t="str">
            <v>Non-Prime</v>
          </cell>
          <cell r="L240" t="str">
            <v>Non-Prime</v>
          </cell>
          <cell r="M240" t="str">
            <v>Non-Prime</v>
          </cell>
          <cell r="N240" t="str">
            <v>Non-Prime</v>
          </cell>
          <cell r="O240" t="str">
            <v>Non-Prime</v>
          </cell>
          <cell r="P240" t="str">
            <v>Non-Prime</v>
          </cell>
          <cell r="Q240" t="str">
            <v>Non-Prime</v>
          </cell>
          <cell r="R240" t="str">
            <v>Non-Prime</v>
          </cell>
          <cell r="S240" t="str">
            <v>Non-Prime</v>
          </cell>
          <cell r="T240" t="str">
            <v>Non-Prime</v>
          </cell>
          <cell r="U240" t="str">
            <v>Non-Prime</v>
          </cell>
          <cell r="V240" t="str">
            <v>Prime</v>
          </cell>
          <cell r="W240" t="str">
            <v>Prime</v>
          </cell>
          <cell r="X240" t="str">
            <v>Prime</v>
          </cell>
          <cell r="Y240" t="str">
            <v>Prime</v>
          </cell>
          <cell r="Z240" t="str">
            <v>Non-Prime</v>
          </cell>
          <cell r="AA240" t="str">
            <v>Non-Prime</v>
          </cell>
          <cell r="AB240" t="str">
            <v>Non-Prime</v>
          </cell>
          <cell r="AC240" t="str">
            <v>Non-Prime</v>
          </cell>
          <cell r="AD240" t="str">
            <v>Non-Prime</v>
          </cell>
          <cell r="AE240" t="str">
            <v>Non-Prime</v>
          </cell>
          <cell r="AF240" t="str">
            <v>Non-Prime</v>
          </cell>
        </row>
        <row r="241">
          <cell r="A241" t="str">
            <v>Singapore</v>
          </cell>
          <cell r="B241" t="str">
            <v>Non-Prime</v>
          </cell>
          <cell r="C241" t="str">
            <v>Non-Prime</v>
          </cell>
          <cell r="D241" t="str">
            <v>Non-Prime</v>
          </cell>
          <cell r="E241" t="str">
            <v>Non-Prime</v>
          </cell>
          <cell r="F241" t="str">
            <v>Non-Prime</v>
          </cell>
          <cell r="G241" t="str">
            <v>Non-Prime</v>
          </cell>
          <cell r="H241" t="str">
            <v>Non-Prime</v>
          </cell>
          <cell r="I241" t="str">
            <v>Non-Prime</v>
          </cell>
          <cell r="J241" t="str">
            <v>Non-Prime</v>
          </cell>
          <cell r="K241" t="str">
            <v>Non-Prime</v>
          </cell>
          <cell r="L241" t="str">
            <v>Non-Prime</v>
          </cell>
          <cell r="M241" t="str">
            <v>Non-Prime</v>
          </cell>
          <cell r="N241" t="str">
            <v>Non-Prime</v>
          </cell>
          <cell r="O241" t="str">
            <v>Non-Prime</v>
          </cell>
          <cell r="P241" t="str">
            <v>Non-Prime</v>
          </cell>
          <cell r="Q241" t="str">
            <v>Non-Prime</v>
          </cell>
          <cell r="R241" t="str">
            <v>Non-Prime</v>
          </cell>
          <cell r="S241" t="str">
            <v>Non-Prime</v>
          </cell>
          <cell r="T241" t="str">
            <v>Non-Prime</v>
          </cell>
          <cell r="U241" t="str">
            <v>Non-Prime</v>
          </cell>
          <cell r="V241" t="str">
            <v>Prime</v>
          </cell>
          <cell r="W241" t="str">
            <v>Prime</v>
          </cell>
          <cell r="X241" t="str">
            <v>Prime</v>
          </cell>
          <cell r="Y241" t="str">
            <v>Prime</v>
          </cell>
          <cell r="Z241" t="str">
            <v>Non-Prime</v>
          </cell>
          <cell r="AA241" t="str">
            <v>Non-Prime</v>
          </cell>
          <cell r="AB241" t="str">
            <v>Non-Prime</v>
          </cell>
          <cell r="AC241" t="str">
            <v>Non-Prime</v>
          </cell>
          <cell r="AD241" t="str">
            <v>Non-Prime</v>
          </cell>
          <cell r="AE241" t="str">
            <v>Non-Prime</v>
          </cell>
          <cell r="AF241" t="str">
            <v>Non-Prime</v>
          </cell>
        </row>
        <row r="242">
          <cell r="A242" t="str">
            <v>Skandinavia</v>
          </cell>
          <cell r="B242" t="str">
            <v>Non-Prime</v>
          </cell>
          <cell r="C242" t="str">
            <v>Non-Prime</v>
          </cell>
          <cell r="D242" t="str">
            <v>Non-Prime</v>
          </cell>
          <cell r="E242" t="str">
            <v>Non-Prime</v>
          </cell>
          <cell r="F242" t="str">
            <v>Non-Prime</v>
          </cell>
          <cell r="G242" t="str">
            <v>Non-Prime</v>
          </cell>
          <cell r="H242" t="str">
            <v>Non-Prime</v>
          </cell>
          <cell r="I242" t="str">
            <v>Non-Prime</v>
          </cell>
          <cell r="J242" t="str">
            <v>Non-Prime</v>
          </cell>
          <cell r="K242" t="str">
            <v>Non-Prime</v>
          </cell>
          <cell r="L242" t="str">
            <v>Non-Prime</v>
          </cell>
          <cell r="M242" t="str">
            <v>Non-Prime</v>
          </cell>
          <cell r="N242" t="str">
            <v>Non-Prime</v>
          </cell>
          <cell r="O242" t="str">
            <v>Non-Prime</v>
          </cell>
          <cell r="P242" t="str">
            <v>Non-Prime</v>
          </cell>
          <cell r="Q242" t="str">
            <v>Non-Prime</v>
          </cell>
          <cell r="R242" t="str">
            <v>Non-Prime</v>
          </cell>
          <cell r="S242" t="str">
            <v>Non-Prime</v>
          </cell>
          <cell r="T242" t="str">
            <v>Non-Prime</v>
          </cell>
          <cell r="U242" t="str">
            <v>Non-Prime</v>
          </cell>
          <cell r="V242" t="str">
            <v>Prime</v>
          </cell>
          <cell r="W242" t="str">
            <v>Prime</v>
          </cell>
          <cell r="X242" t="str">
            <v>Prime</v>
          </cell>
          <cell r="Y242" t="str">
            <v>Prime</v>
          </cell>
          <cell r="Z242" t="str">
            <v>Non-Prime</v>
          </cell>
          <cell r="AA242" t="str">
            <v>Non-Prime</v>
          </cell>
          <cell r="AB242" t="str">
            <v>Non-Prime</v>
          </cell>
          <cell r="AC242" t="str">
            <v>Non-Prime</v>
          </cell>
          <cell r="AD242" t="str">
            <v>Non-Prime</v>
          </cell>
          <cell r="AE242" t="str">
            <v>Non-Prime</v>
          </cell>
          <cell r="AF242" t="str">
            <v>Non-Prime</v>
          </cell>
        </row>
        <row r="243">
          <cell r="A243" t="str">
            <v>Slovakia</v>
          </cell>
          <cell r="B243" t="str">
            <v>Non-Prime</v>
          </cell>
          <cell r="C243" t="str">
            <v>Non-Prime</v>
          </cell>
          <cell r="D243" t="str">
            <v>Non-Prime</v>
          </cell>
          <cell r="E243" t="str">
            <v>Non-Prime</v>
          </cell>
          <cell r="F243" t="str">
            <v>Non-Prime</v>
          </cell>
          <cell r="G243" t="str">
            <v>Non-Prime</v>
          </cell>
          <cell r="H243" t="str">
            <v>Non-Prime</v>
          </cell>
          <cell r="I243" t="str">
            <v>Non-Prime</v>
          </cell>
          <cell r="J243" t="str">
            <v>Non-Prime</v>
          </cell>
          <cell r="K243" t="str">
            <v>Non-Prime</v>
          </cell>
          <cell r="L243" t="str">
            <v>Non-Prime</v>
          </cell>
          <cell r="M243" t="str">
            <v>Non-Prime</v>
          </cell>
          <cell r="N243" t="str">
            <v>Non-Prime</v>
          </cell>
          <cell r="O243" t="str">
            <v>Non-Prime</v>
          </cell>
          <cell r="P243" t="str">
            <v>Non-Prime</v>
          </cell>
          <cell r="Q243" t="str">
            <v>Non-Prime</v>
          </cell>
          <cell r="R243" t="str">
            <v>Non-Prime</v>
          </cell>
          <cell r="S243" t="str">
            <v>Non-Prime</v>
          </cell>
          <cell r="T243" t="str">
            <v>Prime</v>
          </cell>
          <cell r="U243" t="str">
            <v>Prime</v>
          </cell>
          <cell r="V243" t="str">
            <v>Prime</v>
          </cell>
          <cell r="W243" t="str">
            <v>Prime</v>
          </cell>
          <cell r="X243" t="str">
            <v>Prime</v>
          </cell>
          <cell r="Y243" t="str">
            <v>Prime</v>
          </cell>
          <cell r="Z243" t="str">
            <v>Non-Prime</v>
          </cell>
          <cell r="AA243" t="str">
            <v>Non-Prime</v>
          </cell>
          <cell r="AB243" t="str">
            <v>Non-Prime</v>
          </cell>
          <cell r="AC243" t="str">
            <v>Non-Prime</v>
          </cell>
          <cell r="AD243" t="str">
            <v>Non-Prime</v>
          </cell>
          <cell r="AE243" t="str">
            <v>Non-Prime</v>
          </cell>
          <cell r="AF243" t="str">
            <v>Non-Prime</v>
          </cell>
        </row>
        <row r="244">
          <cell r="A244" t="str">
            <v>Slovenia</v>
          </cell>
          <cell r="B244" t="str">
            <v>Non-Prime</v>
          </cell>
          <cell r="C244" t="str">
            <v>Non-Prime</v>
          </cell>
          <cell r="D244" t="str">
            <v>Non-Prime</v>
          </cell>
          <cell r="E244" t="str">
            <v>Non-Prime</v>
          </cell>
          <cell r="F244" t="str">
            <v>Non-Prime</v>
          </cell>
          <cell r="G244" t="str">
            <v>Non-Prime</v>
          </cell>
          <cell r="H244" t="str">
            <v>Non-Prime</v>
          </cell>
          <cell r="I244" t="str">
            <v>Non-Prime</v>
          </cell>
          <cell r="J244" t="str">
            <v>Non-Prime</v>
          </cell>
          <cell r="K244" t="str">
            <v>Non-Prime</v>
          </cell>
          <cell r="L244" t="str">
            <v>Non-Prime</v>
          </cell>
          <cell r="M244" t="str">
            <v>Non-Prime</v>
          </cell>
          <cell r="N244" t="str">
            <v>Non-Prime</v>
          </cell>
          <cell r="O244" t="str">
            <v>Non-Prime</v>
          </cell>
          <cell r="P244" t="str">
            <v>Non-Prime</v>
          </cell>
          <cell r="Q244" t="str">
            <v>Non-Prime</v>
          </cell>
          <cell r="R244" t="str">
            <v>Non-Prime</v>
          </cell>
          <cell r="S244" t="str">
            <v>Non-Prime</v>
          </cell>
          <cell r="T244" t="str">
            <v>Non-Prime</v>
          </cell>
          <cell r="U244" t="str">
            <v>Prime</v>
          </cell>
          <cell r="V244" t="str">
            <v>Prime</v>
          </cell>
          <cell r="W244" t="str">
            <v>Prime</v>
          </cell>
          <cell r="X244" t="str">
            <v>Prime</v>
          </cell>
          <cell r="Y244" t="str">
            <v>Non-Prime</v>
          </cell>
          <cell r="Z244" t="str">
            <v>Non-Prime</v>
          </cell>
          <cell r="AA244" t="str">
            <v>Non-Prime</v>
          </cell>
          <cell r="AB244" t="str">
            <v>Non-Prime</v>
          </cell>
          <cell r="AC244" t="str">
            <v>Non-Prime</v>
          </cell>
          <cell r="AD244" t="str">
            <v>Non-Prime</v>
          </cell>
          <cell r="AE244" t="str">
            <v>Non-Prime</v>
          </cell>
          <cell r="AF244" t="str">
            <v>Non-Prime</v>
          </cell>
        </row>
        <row r="245">
          <cell r="A245" t="str">
            <v>Solomon Islands</v>
          </cell>
          <cell r="B245" t="str">
            <v>Non-Prime</v>
          </cell>
          <cell r="C245" t="str">
            <v>Non-Prime</v>
          </cell>
          <cell r="D245" t="str">
            <v>Non-Prime</v>
          </cell>
          <cell r="E245" t="str">
            <v>Non-Prime</v>
          </cell>
          <cell r="F245" t="str">
            <v>Non-Prime</v>
          </cell>
          <cell r="G245" t="str">
            <v>Non-Prime</v>
          </cell>
          <cell r="H245" t="str">
            <v>Non-Prime</v>
          </cell>
          <cell r="I245" t="str">
            <v>Non-Prime</v>
          </cell>
          <cell r="J245" t="str">
            <v>Non-Prime</v>
          </cell>
          <cell r="K245" t="str">
            <v>Non-Prime</v>
          </cell>
          <cell r="L245" t="str">
            <v>Non-Prime</v>
          </cell>
          <cell r="M245" t="str">
            <v>Non-Prime</v>
          </cell>
          <cell r="N245" t="str">
            <v>Non-Prime</v>
          </cell>
          <cell r="O245" t="str">
            <v>Non-Prime</v>
          </cell>
          <cell r="P245" t="str">
            <v>Non-Prime</v>
          </cell>
          <cell r="Q245" t="str">
            <v>Non-Prime</v>
          </cell>
          <cell r="R245" t="str">
            <v>Non-Prime</v>
          </cell>
          <cell r="S245" t="str">
            <v>Non-Prime</v>
          </cell>
          <cell r="T245" t="str">
            <v>Non-Prime</v>
          </cell>
          <cell r="U245" t="str">
            <v>Prime</v>
          </cell>
          <cell r="V245" t="str">
            <v>Prime</v>
          </cell>
          <cell r="W245" t="str">
            <v>Prime</v>
          </cell>
          <cell r="X245" t="str">
            <v>Prime</v>
          </cell>
          <cell r="Y245" t="str">
            <v>Non-Prime</v>
          </cell>
          <cell r="Z245" t="str">
            <v>Non-Prime</v>
          </cell>
          <cell r="AA245" t="str">
            <v>Non-Prime</v>
          </cell>
          <cell r="AB245" t="str">
            <v>Non-Prime</v>
          </cell>
          <cell r="AC245" t="str">
            <v>Non-Prime</v>
          </cell>
          <cell r="AD245" t="str">
            <v>Non-Prime</v>
          </cell>
          <cell r="AE245" t="str">
            <v>Non-Prime</v>
          </cell>
          <cell r="AF245" t="str">
            <v>Non-Prime</v>
          </cell>
        </row>
        <row r="246">
          <cell r="A246" t="str">
            <v>Somalia</v>
          </cell>
          <cell r="B246" t="str">
            <v>Non-Prime</v>
          </cell>
          <cell r="C246" t="str">
            <v>Non-Prime</v>
          </cell>
          <cell r="D246" t="str">
            <v>Non-Prime</v>
          </cell>
          <cell r="E246" t="str">
            <v>Non-Prime</v>
          </cell>
          <cell r="F246" t="str">
            <v>Non-Prime</v>
          </cell>
          <cell r="G246" t="str">
            <v>Non-Prime</v>
          </cell>
          <cell r="H246" t="str">
            <v>Non-Prime</v>
          </cell>
          <cell r="I246" t="str">
            <v>Non-Prime</v>
          </cell>
          <cell r="J246" t="str">
            <v>Non-Prime</v>
          </cell>
          <cell r="K246" t="str">
            <v>Non-Prime</v>
          </cell>
          <cell r="L246" t="str">
            <v>Non-Prime</v>
          </cell>
          <cell r="M246" t="str">
            <v>Non-Prime</v>
          </cell>
          <cell r="N246" t="str">
            <v>Non-Prime</v>
          </cell>
          <cell r="O246" t="str">
            <v>Non-Prime</v>
          </cell>
          <cell r="P246" t="str">
            <v>Non-Prime</v>
          </cell>
          <cell r="Q246" t="str">
            <v>Non-Prime</v>
          </cell>
          <cell r="R246" t="str">
            <v>Non-Prime</v>
          </cell>
          <cell r="S246" t="str">
            <v>Non-Prime</v>
          </cell>
          <cell r="T246" t="str">
            <v>Non-Prime</v>
          </cell>
          <cell r="U246" t="str">
            <v>Non-Prime</v>
          </cell>
          <cell r="V246" t="str">
            <v>Prime</v>
          </cell>
          <cell r="W246" t="str">
            <v>Prime</v>
          </cell>
          <cell r="X246" t="str">
            <v>Prime</v>
          </cell>
          <cell r="Y246" t="str">
            <v>Prime</v>
          </cell>
          <cell r="Z246" t="str">
            <v>Non-Prime</v>
          </cell>
          <cell r="AA246" t="str">
            <v>Non-Prime</v>
          </cell>
          <cell r="AB246" t="str">
            <v>Non-Prime</v>
          </cell>
          <cell r="AC246" t="str">
            <v>Non-Prime</v>
          </cell>
          <cell r="AD246" t="str">
            <v>Non-Prime</v>
          </cell>
          <cell r="AE246" t="str">
            <v>Non-Prime</v>
          </cell>
          <cell r="AF246" t="str">
            <v>Non-Prime</v>
          </cell>
        </row>
        <row r="247">
          <cell r="A247" t="str">
            <v>South Africa</v>
          </cell>
          <cell r="B247" t="str">
            <v>Non-Prime</v>
          </cell>
          <cell r="C247" t="str">
            <v>Non-Prime</v>
          </cell>
          <cell r="D247" t="str">
            <v>Non-Prime</v>
          </cell>
          <cell r="E247" t="str">
            <v>Non-Prime</v>
          </cell>
          <cell r="F247" t="str">
            <v>Non-Prime</v>
          </cell>
          <cell r="G247" t="str">
            <v>Non-Prime</v>
          </cell>
          <cell r="H247" t="str">
            <v>Non-Prime</v>
          </cell>
          <cell r="I247" t="str">
            <v>Non-Prime</v>
          </cell>
          <cell r="J247" t="str">
            <v>Non-Prime</v>
          </cell>
          <cell r="K247" t="str">
            <v>Non-Prime</v>
          </cell>
          <cell r="L247" t="str">
            <v>Non-Prime</v>
          </cell>
          <cell r="M247" t="str">
            <v>Non-Prime</v>
          </cell>
          <cell r="N247" t="str">
            <v>Non-Prime</v>
          </cell>
          <cell r="O247" t="str">
            <v>Non-Prime</v>
          </cell>
          <cell r="P247" t="str">
            <v>Non-Prime</v>
          </cell>
          <cell r="Q247" t="str">
            <v>Non-Prime</v>
          </cell>
          <cell r="R247" t="str">
            <v>Non-Prime</v>
          </cell>
          <cell r="S247" t="str">
            <v>Non-Prime</v>
          </cell>
          <cell r="T247" t="str">
            <v>Prime</v>
          </cell>
          <cell r="U247" t="str">
            <v>Prime</v>
          </cell>
          <cell r="V247" t="str">
            <v>Prime</v>
          </cell>
          <cell r="W247" t="str">
            <v>Prime</v>
          </cell>
          <cell r="X247" t="str">
            <v>Prime</v>
          </cell>
          <cell r="Y247" t="str">
            <v>Prime</v>
          </cell>
          <cell r="Z247" t="str">
            <v>Non-Prime</v>
          </cell>
          <cell r="AA247" t="str">
            <v>Non-Prime</v>
          </cell>
          <cell r="AB247" t="str">
            <v>Non-Prime</v>
          </cell>
          <cell r="AC247" t="str">
            <v>Non-Prime</v>
          </cell>
          <cell r="AD247" t="str">
            <v>Non-Prime</v>
          </cell>
          <cell r="AE247" t="str">
            <v>Non-Prime</v>
          </cell>
          <cell r="AF247" t="str">
            <v>Non-Prime</v>
          </cell>
        </row>
        <row r="248">
          <cell r="A248" t="str">
            <v>SOUTH EAST ASIA</v>
          </cell>
          <cell r="B248" t="str">
            <v>Non-Prime</v>
          </cell>
          <cell r="C248" t="str">
            <v>Non-Prime</v>
          </cell>
          <cell r="D248" t="str">
            <v>Non-Prime</v>
          </cell>
          <cell r="E248" t="str">
            <v>Non-Prime</v>
          </cell>
          <cell r="F248" t="str">
            <v>Non-Prime</v>
          </cell>
          <cell r="G248" t="str">
            <v>Non-Prime</v>
          </cell>
          <cell r="H248" t="str">
            <v>Non-Prime</v>
          </cell>
          <cell r="I248" t="str">
            <v>Non-Prime</v>
          </cell>
          <cell r="J248" t="str">
            <v>Non-Prime</v>
          </cell>
          <cell r="K248" t="str">
            <v>Non-Prime</v>
          </cell>
          <cell r="L248" t="str">
            <v>Non-Prime</v>
          </cell>
          <cell r="M248" t="str">
            <v>Non-Prime</v>
          </cell>
          <cell r="N248" t="str">
            <v>Non-Prime</v>
          </cell>
          <cell r="O248" t="str">
            <v>Non-Prime</v>
          </cell>
          <cell r="P248" t="str">
            <v>Non-Prime</v>
          </cell>
          <cell r="Q248" t="str">
            <v>Non-Prime</v>
          </cell>
          <cell r="R248" t="str">
            <v>Non-Prime</v>
          </cell>
          <cell r="S248" t="str">
            <v>Non-Prime</v>
          </cell>
          <cell r="T248" t="str">
            <v>Prime</v>
          </cell>
          <cell r="U248" t="str">
            <v>Prime</v>
          </cell>
          <cell r="V248" t="str">
            <v>Prime</v>
          </cell>
          <cell r="W248" t="str">
            <v>Prime</v>
          </cell>
          <cell r="X248" t="str">
            <v>Prime</v>
          </cell>
          <cell r="Y248" t="str">
            <v>Prime</v>
          </cell>
          <cell r="Z248" t="str">
            <v>Non-Prime</v>
          </cell>
          <cell r="AA248" t="str">
            <v>Non-Prime</v>
          </cell>
          <cell r="AB248" t="str">
            <v>Non-Prime</v>
          </cell>
          <cell r="AC248" t="str">
            <v>Non-Prime</v>
          </cell>
          <cell r="AD248" t="str">
            <v>Non-Prime</v>
          </cell>
          <cell r="AE248" t="str">
            <v>Non-Prime</v>
          </cell>
          <cell r="AF248" t="str">
            <v>Non-Prime</v>
          </cell>
        </row>
        <row r="249">
          <cell r="A249" t="str">
            <v>South Korea</v>
          </cell>
          <cell r="B249" t="str">
            <v>Non-Prime</v>
          </cell>
          <cell r="C249" t="str">
            <v>Non-Prime</v>
          </cell>
          <cell r="D249" t="str">
            <v>Non-Prime</v>
          </cell>
          <cell r="E249" t="str">
            <v>Non-Prime</v>
          </cell>
          <cell r="F249" t="str">
            <v>Non-Prime</v>
          </cell>
          <cell r="G249" t="str">
            <v>Non-Prime</v>
          </cell>
          <cell r="H249" t="str">
            <v>Non-Prime</v>
          </cell>
          <cell r="I249" t="str">
            <v>Non-Prime</v>
          </cell>
          <cell r="J249" t="str">
            <v>Non-Prime</v>
          </cell>
          <cell r="K249" t="str">
            <v>Non-Prime</v>
          </cell>
          <cell r="L249" t="str">
            <v>Non-Prime</v>
          </cell>
          <cell r="M249" t="str">
            <v>Non-Prime</v>
          </cell>
          <cell r="N249" t="str">
            <v>Non-Prime</v>
          </cell>
          <cell r="O249" t="str">
            <v>Non-Prime</v>
          </cell>
          <cell r="P249" t="str">
            <v>Non-Prime</v>
          </cell>
          <cell r="Q249" t="str">
            <v>Non-Prime</v>
          </cell>
          <cell r="R249" t="str">
            <v>Non-Prime</v>
          </cell>
          <cell r="S249" t="str">
            <v>Non-Prime</v>
          </cell>
          <cell r="T249" t="str">
            <v>Non-Prime</v>
          </cell>
          <cell r="U249" t="str">
            <v>Prime</v>
          </cell>
          <cell r="V249" t="str">
            <v>Prime</v>
          </cell>
          <cell r="W249" t="str">
            <v>Prime</v>
          </cell>
          <cell r="X249" t="str">
            <v>Prime</v>
          </cell>
          <cell r="Y249" t="str">
            <v>Prime</v>
          </cell>
          <cell r="Z249" t="str">
            <v>Non-Prime</v>
          </cell>
          <cell r="AA249" t="str">
            <v>Non-Prime</v>
          </cell>
          <cell r="AB249" t="str">
            <v>Non-Prime</v>
          </cell>
          <cell r="AC249" t="str">
            <v>Non-Prime</v>
          </cell>
          <cell r="AD249" t="str">
            <v>Non-Prime</v>
          </cell>
          <cell r="AE249" t="str">
            <v>Non-Prime</v>
          </cell>
          <cell r="AF249" t="str">
            <v>Non-Prime</v>
          </cell>
        </row>
        <row r="250">
          <cell r="A250" t="str">
            <v>Spain</v>
          </cell>
          <cell r="B250" t="str">
            <v>Non-Prime</v>
          </cell>
          <cell r="C250" t="str">
            <v>Non-Prime</v>
          </cell>
          <cell r="D250" t="str">
            <v>Non-Prime</v>
          </cell>
          <cell r="E250" t="str">
            <v>Non-Prime</v>
          </cell>
          <cell r="F250" t="str">
            <v>Non-Prime</v>
          </cell>
          <cell r="G250" t="str">
            <v>Non-Prime</v>
          </cell>
          <cell r="H250" t="str">
            <v>Non-Prime</v>
          </cell>
          <cell r="I250" t="str">
            <v>Non-Prime</v>
          </cell>
          <cell r="J250" t="str">
            <v>Non-Prime</v>
          </cell>
          <cell r="K250" t="str">
            <v>Non-Prime</v>
          </cell>
          <cell r="L250" t="str">
            <v>Non-Prime</v>
          </cell>
          <cell r="M250" t="str">
            <v>Non-Prime</v>
          </cell>
          <cell r="N250" t="str">
            <v>Non-Prime</v>
          </cell>
          <cell r="O250" t="str">
            <v>Non-Prime</v>
          </cell>
          <cell r="P250" t="str">
            <v>Non-Prime</v>
          </cell>
          <cell r="Q250" t="str">
            <v>Non-Prime</v>
          </cell>
          <cell r="R250" t="str">
            <v>Non-Prime</v>
          </cell>
          <cell r="S250" t="str">
            <v>Non-Prime</v>
          </cell>
          <cell r="T250" t="str">
            <v>Non-Prime</v>
          </cell>
          <cell r="U250" t="str">
            <v>Non-Prime</v>
          </cell>
          <cell r="V250" t="str">
            <v>Prime</v>
          </cell>
          <cell r="W250" t="str">
            <v>Prime</v>
          </cell>
          <cell r="X250" t="str">
            <v>Prime</v>
          </cell>
          <cell r="Y250" t="str">
            <v>Prime</v>
          </cell>
          <cell r="Z250" t="str">
            <v>Non-Prime</v>
          </cell>
          <cell r="AA250" t="str">
            <v>Non-Prime</v>
          </cell>
          <cell r="AB250" t="str">
            <v>Non-Prime</v>
          </cell>
          <cell r="AC250" t="str">
            <v>Non-Prime</v>
          </cell>
          <cell r="AD250" t="str">
            <v>Non-Prime</v>
          </cell>
          <cell r="AE250" t="str">
            <v>Non-Prime</v>
          </cell>
          <cell r="AF250" t="str">
            <v>Non-Prime</v>
          </cell>
        </row>
        <row r="251">
          <cell r="A251" t="str">
            <v>Sri Lanka</v>
          </cell>
          <cell r="B251" t="str">
            <v>Non-Prime</v>
          </cell>
          <cell r="C251" t="str">
            <v>Non-Prime</v>
          </cell>
          <cell r="D251" t="str">
            <v>Non-Prime</v>
          </cell>
          <cell r="E251" t="str">
            <v>Non-Prime</v>
          </cell>
          <cell r="F251" t="str">
            <v>Non-Prime</v>
          </cell>
          <cell r="G251" t="str">
            <v>Non-Prime</v>
          </cell>
          <cell r="H251" t="str">
            <v>Non-Prime</v>
          </cell>
          <cell r="I251" t="str">
            <v>Non-Prime</v>
          </cell>
          <cell r="J251" t="str">
            <v>Non-Prime</v>
          </cell>
          <cell r="K251" t="str">
            <v>Non-Prime</v>
          </cell>
          <cell r="L251" t="str">
            <v>Non-Prime</v>
          </cell>
          <cell r="M251" t="str">
            <v>Non-Prime</v>
          </cell>
          <cell r="N251" t="str">
            <v>Non-Prime</v>
          </cell>
          <cell r="O251" t="str">
            <v>Non-Prime</v>
          </cell>
          <cell r="P251" t="str">
            <v>Non-Prime</v>
          </cell>
          <cell r="Q251" t="str">
            <v>Non-Prime</v>
          </cell>
          <cell r="R251" t="str">
            <v>Non-Prime</v>
          </cell>
          <cell r="S251" t="str">
            <v>Non-Prime</v>
          </cell>
          <cell r="T251" t="str">
            <v>Non-Prime</v>
          </cell>
          <cell r="U251" t="str">
            <v>Prime</v>
          </cell>
          <cell r="V251" t="str">
            <v>Prime</v>
          </cell>
          <cell r="W251" t="str">
            <v>Prime</v>
          </cell>
          <cell r="X251" t="str">
            <v>Non-Prime</v>
          </cell>
          <cell r="Y251" t="str">
            <v>Non-Prime</v>
          </cell>
          <cell r="Z251" t="str">
            <v>Non-Prime</v>
          </cell>
          <cell r="AA251" t="str">
            <v>Non-Prime</v>
          </cell>
          <cell r="AB251" t="str">
            <v>Non-Prime</v>
          </cell>
          <cell r="AC251" t="str">
            <v>Non-Prime</v>
          </cell>
          <cell r="AD251" t="str">
            <v>Non-Prime</v>
          </cell>
          <cell r="AE251" t="str">
            <v>Non-Prime</v>
          </cell>
          <cell r="AF251" t="str">
            <v>Non-Prime</v>
          </cell>
        </row>
        <row r="252">
          <cell r="A252" t="str">
            <v>Suriname</v>
          </cell>
          <cell r="B252" t="str">
            <v>Non-Prime</v>
          </cell>
          <cell r="C252" t="str">
            <v>Non-Prime</v>
          </cell>
          <cell r="D252" t="str">
            <v>Non-Prime</v>
          </cell>
          <cell r="E252" t="str">
            <v>Non-Prime</v>
          </cell>
          <cell r="F252" t="str">
            <v>Non-Prime</v>
          </cell>
          <cell r="G252" t="str">
            <v>Non-Prime</v>
          </cell>
          <cell r="H252" t="str">
            <v>Non-Prime</v>
          </cell>
          <cell r="I252" t="str">
            <v>Non-Prime</v>
          </cell>
          <cell r="J252" t="str">
            <v>Non-Prime</v>
          </cell>
          <cell r="K252" t="str">
            <v>Non-Prime</v>
          </cell>
          <cell r="L252" t="str">
            <v>Non-Prime</v>
          </cell>
          <cell r="M252" t="str">
            <v>Non-Prime</v>
          </cell>
          <cell r="N252" t="str">
            <v>Non-Prime</v>
          </cell>
          <cell r="O252" t="str">
            <v>Non-Prime</v>
          </cell>
          <cell r="P252" t="str">
            <v>Non-Prime</v>
          </cell>
          <cell r="Q252" t="str">
            <v>Non-Prime</v>
          </cell>
          <cell r="R252" t="str">
            <v>Non-Prime</v>
          </cell>
          <cell r="S252" t="str">
            <v>Non-Prime</v>
          </cell>
          <cell r="T252" t="str">
            <v>Non-Prime</v>
          </cell>
          <cell r="U252" t="str">
            <v>Non-Prime</v>
          </cell>
          <cell r="V252" t="str">
            <v>Prime</v>
          </cell>
          <cell r="W252" t="str">
            <v>Prime</v>
          </cell>
          <cell r="X252" t="str">
            <v>Prime</v>
          </cell>
          <cell r="Y252" t="str">
            <v>Prime</v>
          </cell>
          <cell r="Z252" t="str">
            <v>Non-Prime</v>
          </cell>
          <cell r="AA252" t="str">
            <v>Non-Prime</v>
          </cell>
          <cell r="AB252" t="str">
            <v>Non-Prime</v>
          </cell>
          <cell r="AC252" t="str">
            <v>Non-Prime</v>
          </cell>
          <cell r="AD252" t="str">
            <v>Non-Prime</v>
          </cell>
          <cell r="AE252" t="str">
            <v>Non-Prime</v>
          </cell>
          <cell r="AF252" t="str">
            <v>Non-Prime</v>
          </cell>
        </row>
        <row r="253">
          <cell r="A253" t="str">
            <v>Svalbard &amp; Jan Mayen Islands</v>
          </cell>
          <cell r="B253" t="str">
            <v>Non-Prime</v>
          </cell>
          <cell r="C253" t="str">
            <v>Non-Prime</v>
          </cell>
          <cell r="D253" t="str">
            <v>Non-Prime</v>
          </cell>
          <cell r="E253" t="str">
            <v>Non-Prime</v>
          </cell>
          <cell r="F253" t="str">
            <v>Non-Prime</v>
          </cell>
          <cell r="G253" t="str">
            <v>Non-Prime</v>
          </cell>
          <cell r="H253" t="str">
            <v>Non-Prime</v>
          </cell>
          <cell r="I253" t="str">
            <v>Non-Prime</v>
          </cell>
          <cell r="J253" t="str">
            <v>Non-Prime</v>
          </cell>
          <cell r="K253" t="str">
            <v>Non-Prime</v>
          </cell>
          <cell r="L253" t="str">
            <v>Non-Prime</v>
          </cell>
          <cell r="M253" t="str">
            <v>Non-Prime</v>
          </cell>
          <cell r="N253" t="str">
            <v>Non-Prime</v>
          </cell>
          <cell r="O253" t="str">
            <v>Non-Prime</v>
          </cell>
          <cell r="P253" t="str">
            <v>Non-Prime</v>
          </cell>
          <cell r="Q253" t="str">
            <v>Non-Prime</v>
          </cell>
          <cell r="R253" t="str">
            <v>Non-Prime</v>
          </cell>
          <cell r="S253" t="str">
            <v>Non-Prime</v>
          </cell>
          <cell r="T253" t="str">
            <v>Prime</v>
          </cell>
          <cell r="U253" t="str">
            <v>Prime</v>
          </cell>
          <cell r="V253" t="str">
            <v>Prime</v>
          </cell>
          <cell r="W253" t="str">
            <v>Prime</v>
          </cell>
          <cell r="X253" t="str">
            <v>Prime</v>
          </cell>
          <cell r="Y253" t="str">
            <v>Prime</v>
          </cell>
          <cell r="Z253" t="str">
            <v>Non-Prime</v>
          </cell>
          <cell r="AA253" t="str">
            <v>Non-Prime</v>
          </cell>
          <cell r="AB253" t="str">
            <v>Non-Prime</v>
          </cell>
          <cell r="AC253" t="str">
            <v>Non-Prime</v>
          </cell>
          <cell r="AD253" t="str">
            <v>Non-Prime</v>
          </cell>
          <cell r="AE253" t="str">
            <v>Non-Prime</v>
          </cell>
          <cell r="AF253" t="str">
            <v>Non-Prime</v>
          </cell>
        </row>
        <row r="254">
          <cell r="A254" t="str">
            <v>Swaziland</v>
          </cell>
          <cell r="B254" t="str">
            <v>Non-Prime</v>
          </cell>
          <cell r="C254" t="str">
            <v>Non-Prime</v>
          </cell>
          <cell r="D254" t="str">
            <v>Non-Prime</v>
          </cell>
          <cell r="E254" t="str">
            <v>Non-Prime</v>
          </cell>
          <cell r="F254" t="str">
            <v>Non-Prime</v>
          </cell>
          <cell r="G254" t="str">
            <v>Non-Prime</v>
          </cell>
          <cell r="H254" t="str">
            <v>Non-Prime</v>
          </cell>
          <cell r="I254" t="str">
            <v>Non-Prime</v>
          </cell>
          <cell r="J254" t="str">
            <v>Non-Prime</v>
          </cell>
          <cell r="K254" t="str">
            <v>Non-Prime</v>
          </cell>
          <cell r="L254" t="str">
            <v>Non-Prime</v>
          </cell>
          <cell r="M254" t="str">
            <v>Non-Prime</v>
          </cell>
          <cell r="N254" t="str">
            <v>Non-Prime</v>
          </cell>
          <cell r="O254" t="str">
            <v>Non-Prime</v>
          </cell>
          <cell r="P254" t="str">
            <v>Non-Prime</v>
          </cell>
          <cell r="Q254" t="str">
            <v>Non-Prime</v>
          </cell>
          <cell r="R254" t="str">
            <v>Non-Prime</v>
          </cell>
          <cell r="S254" t="str">
            <v>Non-Prime</v>
          </cell>
          <cell r="T254" t="str">
            <v>Prime</v>
          </cell>
          <cell r="U254" t="str">
            <v>Prime</v>
          </cell>
          <cell r="V254" t="str">
            <v>Prime</v>
          </cell>
          <cell r="W254" t="str">
            <v>Prime</v>
          </cell>
          <cell r="X254" t="str">
            <v>Prime</v>
          </cell>
          <cell r="Y254" t="str">
            <v>Prime</v>
          </cell>
          <cell r="Z254" t="str">
            <v>Non-Prime</v>
          </cell>
          <cell r="AA254" t="str">
            <v>Non-Prime</v>
          </cell>
          <cell r="AB254" t="str">
            <v>Non-Prime</v>
          </cell>
          <cell r="AC254" t="str">
            <v>Non-Prime</v>
          </cell>
          <cell r="AD254" t="str">
            <v>Non-Prime</v>
          </cell>
          <cell r="AE254" t="str">
            <v>Non-Prime</v>
          </cell>
          <cell r="AF254" t="str">
            <v>Non-Prime</v>
          </cell>
        </row>
        <row r="255">
          <cell r="A255" t="str">
            <v>Sweden</v>
          </cell>
          <cell r="B255" t="str">
            <v>Non-Prime</v>
          </cell>
          <cell r="C255" t="str">
            <v>Non-Prime</v>
          </cell>
          <cell r="D255" t="str">
            <v>Non-Prime</v>
          </cell>
          <cell r="E255" t="str">
            <v>Non-Prime</v>
          </cell>
          <cell r="F255" t="str">
            <v>Non-Prime</v>
          </cell>
          <cell r="G255" t="str">
            <v>Non-Prime</v>
          </cell>
          <cell r="H255" t="str">
            <v>Non-Prime</v>
          </cell>
          <cell r="I255" t="str">
            <v>Non-Prime</v>
          </cell>
          <cell r="J255" t="str">
            <v>Non-Prime</v>
          </cell>
          <cell r="K255" t="str">
            <v>Non-Prime</v>
          </cell>
          <cell r="L255" t="str">
            <v>Non-Prime</v>
          </cell>
          <cell r="M255" t="str">
            <v>Non-Prime</v>
          </cell>
          <cell r="N255" t="str">
            <v>Non-Prime</v>
          </cell>
          <cell r="O255" t="str">
            <v>Non-Prime</v>
          </cell>
          <cell r="P255" t="str">
            <v>Non-Prime</v>
          </cell>
          <cell r="Q255" t="str">
            <v>Non-Prime</v>
          </cell>
          <cell r="R255" t="str">
            <v>Non-Prime</v>
          </cell>
          <cell r="S255" t="str">
            <v>Non-Prime</v>
          </cell>
          <cell r="T255" t="str">
            <v>Non-Prime</v>
          </cell>
          <cell r="U255" t="str">
            <v>Non-Prime</v>
          </cell>
          <cell r="V255" t="str">
            <v>Prime</v>
          </cell>
          <cell r="W255" t="str">
            <v>Prime</v>
          </cell>
          <cell r="X255" t="str">
            <v>Prime</v>
          </cell>
          <cell r="Y255" t="str">
            <v>Prime</v>
          </cell>
          <cell r="Z255" t="str">
            <v>Non-Prime</v>
          </cell>
          <cell r="AA255" t="str">
            <v>Non-Prime</v>
          </cell>
          <cell r="AB255" t="str">
            <v>Non-Prime</v>
          </cell>
          <cell r="AC255" t="str">
            <v>Non-Prime</v>
          </cell>
          <cell r="AD255" t="str">
            <v>Non-Prime</v>
          </cell>
          <cell r="AE255" t="str">
            <v>Non-Prime</v>
          </cell>
          <cell r="AF255" t="str">
            <v>Non-Prime</v>
          </cell>
        </row>
        <row r="256">
          <cell r="A256" t="str">
            <v>Switzerland</v>
          </cell>
          <cell r="B256" t="str">
            <v>Non-Prime</v>
          </cell>
          <cell r="C256" t="str">
            <v>Non-Prime</v>
          </cell>
          <cell r="D256" t="str">
            <v>Non-Prime</v>
          </cell>
          <cell r="E256" t="str">
            <v>Non-Prime</v>
          </cell>
          <cell r="F256" t="str">
            <v>Non-Prime</v>
          </cell>
          <cell r="G256" t="str">
            <v>Non-Prime</v>
          </cell>
          <cell r="H256" t="str">
            <v>Non-Prime</v>
          </cell>
          <cell r="I256" t="str">
            <v>Non-Prime</v>
          </cell>
          <cell r="J256" t="str">
            <v>Non-Prime</v>
          </cell>
          <cell r="K256" t="str">
            <v>Non-Prime</v>
          </cell>
          <cell r="L256" t="str">
            <v>Non-Prime</v>
          </cell>
          <cell r="M256" t="str">
            <v>Non-Prime</v>
          </cell>
          <cell r="N256" t="str">
            <v>Non-Prime</v>
          </cell>
          <cell r="O256" t="str">
            <v>Non-Prime</v>
          </cell>
          <cell r="P256" t="str">
            <v>Non-Prime</v>
          </cell>
          <cell r="Q256" t="str">
            <v>Non-Prime</v>
          </cell>
          <cell r="R256" t="str">
            <v>Non-Prime</v>
          </cell>
          <cell r="S256" t="str">
            <v>Non-Prime</v>
          </cell>
          <cell r="T256" t="str">
            <v>Prime</v>
          </cell>
          <cell r="U256" t="str">
            <v>Prime</v>
          </cell>
          <cell r="V256" t="str">
            <v>Prime</v>
          </cell>
          <cell r="W256" t="str">
            <v>Prime</v>
          </cell>
          <cell r="X256" t="str">
            <v>Prime</v>
          </cell>
          <cell r="Y256" t="str">
            <v>Prime</v>
          </cell>
          <cell r="Z256" t="str">
            <v>Non-Prime</v>
          </cell>
          <cell r="AA256" t="str">
            <v>Non-Prime</v>
          </cell>
          <cell r="AB256" t="str">
            <v>Non-Prime</v>
          </cell>
          <cell r="AC256" t="str">
            <v>Non-Prime</v>
          </cell>
          <cell r="AD256" t="str">
            <v>Non-Prime</v>
          </cell>
          <cell r="AE256" t="str">
            <v>Non-Prime</v>
          </cell>
          <cell r="AF256" t="str">
            <v>Non-Prime</v>
          </cell>
        </row>
        <row r="257">
          <cell r="A257" t="str">
            <v>Syria</v>
          </cell>
          <cell r="B257" t="str">
            <v>Non-Prime</v>
          </cell>
          <cell r="C257" t="str">
            <v>Non-Prime</v>
          </cell>
          <cell r="D257" t="str">
            <v>Non-Prime</v>
          </cell>
          <cell r="E257" t="str">
            <v>Non-Prime</v>
          </cell>
          <cell r="F257" t="str">
            <v>Non-Prime</v>
          </cell>
          <cell r="G257" t="str">
            <v>Non-Prime</v>
          </cell>
          <cell r="H257" t="str">
            <v>Non-Prime</v>
          </cell>
          <cell r="I257" t="str">
            <v>Non-Prime</v>
          </cell>
          <cell r="J257" t="str">
            <v>Non-Prime</v>
          </cell>
          <cell r="K257" t="str">
            <v>Non-Prime</v>
          </cell>
          <cell r="L257" t="str">
            <v>Non-Prime</v>
          </cell>
          <cell r="M257" t="str">
            <v>Non-Prime</v>
          </cell>
          <cell r="N257" t="str">
            <v>Non-Prime</v>
          </cell>
          <cell r="O257" t="str">
            <v>Non-Prime</v>
          </cell>
          <cell r="P257" t="str">
            <v>Non-Prime</v>
          </cell>
          <cell r="Q257" t="str">
            <v>Non-Prime</v>
          </cell>
          <cell r="R257" t="str">
            <v>Non-Prime</v>
          </cell>
          <cell r="S257" t="str">
            <v>Non-Prime</v>
          </cell>
          <cell r="T257" t="str">
            <v>Prime</v>
          </cell>
          <cell r="U257" t="str">
            <v>Prime</v>
          </cell>
          <cell r="V257" t="str">
            <v>Prime</v>
          </cell>
          <cell r="W257" t="str">
            <v>Prime</v>
          </cell>
          <cell r="X257" t="str">
            <v>Prime</v>
          </cell>
          <cell r="Y257" t="str">
            <v>Prime</v>
          </cell>
          <cell r="Z257" t="str">
            <v>Non-Prime</v>
          </cell>
          <cell r="AA257" t="str">
            <v>Non-Prime</v>
          </cell>
          <cell r="AB257" t="str">
            <v>Non-Prime</v>
          </cell>
          <cell r="AC257" t="str">
            <v>Non-Prime</v>
          </cell>
          <cell r="AD257" t="str">
            <v>Non-Prime</v>
          </cell>
          <cell r="AE257" t="str">
            <v>Non-Prime</v>
          </cell>
          <cell r="AF257" t="str">
            <v>Non-Prime</v>
          </cell>
        </row>
        <row r="258">
          <cell r="A258" t="str">
            <v>Taiwan</v>
          </cell>
          <cell r="B258" t="str">
            <v>Non-Prime</v>
          </cell>
          <cell r="C258" t="str">
            <v>Non-Prime</v>
          </cell>
          <cell r="D258" t="str">
            <v>Non-Prime</v>
          </cell>
          <cell r="E258" t="str">
            <v>Non-Prime</v>
          </cell>
          <cell r="F258" t="str">
            <v>Non-Prime</v>
          </cell>
          <cell r="G258" t="str">
            <v>Non-Prime</v>
          </cell>
          <cell r="H258" t="str">
            <v>Non-Prime</v>
          </cell>
          <cell r="I258" t="str">
            <v>Non-Prime</v>
          </cell>
          <cell r="J258" t="str">
            <v>Non-Prime</v>
          </cell>
          <cell r="K258" t="str">
            <v>Non-Prime</v>
          </cell>
          <cell r="L258" t="str">
            <v>Non-Prime</v>
          </cell>
          <cell r="M258" t="str">
            <v>Non-Prime</v>
          </cell>
          <cell r="N258" t="str">
            <v>Non-Prime</v>
          </cell>
          <cell r="O258" t="str">
            <v>Non-Prime</v>
          </cell>
          <cell r="P258" t="str">
            <v>Non-Prime</v>
          </cell>
          <cell r="Q258" t="str">
            <v>Non-Prime</v>
          </cell>
          <cell r="R258" t="str">
            <v>Non-Prime</v>
          </cell>
          <cell r="S258" t="str">
            <v>Non-Prime</v>
          </cell>
          <cell r="T258" t="str">
            <v>Non-Prime</v>
          </cell>
          <cell r="U258" t="str">
            <v>Non-Prime</v>
          </cell>
          <cell r="V258" t="str">
            <v>Prime</v>
          </cell>
          <cell r="W258" t="str">
            <v>Prime</v>
          </cell>
          <cell r="X258" t="str">
            <v>Prime</v>
          </cell>
          <cell r="Y258" t="str">
            <v>Prime</v>
          </cell>
          <cell r="Z258" t="str">
            <v>Non-Prime</v>
          </cell>
          <cell r="AA258" t="str">
            <v>Non-Prime</v>
          </cell>
          <cell r="AB258" t="str">
            <v>Non-Prime</v>
          </cell>
          <cell r="AC258" t="str">
            <v>Non-Prime</v>
          </cell>
          <cell r="AD258" t="str">
            <v>Non-Prime</v>
          </cell>
          <cell r="AE258" t="str">
            <v>Non-Prime</v>
          </cell>
          <cell r="AF258" t="str">
            <v>Non-Prime</v>
          </cell>
        </row>
        <row r="259">
          <cell r="A259" t="str">
            <v>Tajikistan</v>
          </cell>
          <cell r="B259" t="str">
            <v>Non-Prime</v>
          </cell>
          <cell r="C259" t="str">
            <v>Non-Prime</v>
          </cell>
          <cell r="D259" t="str">
            <v>Non-Prime</v>
          </cell>
          <cell r="E259" t="str">
            <v>Non-Prime</v>
          </cell>
          <cell r="F259" t="str">
            <v>Non-Prime</v>
          </cell>
          <cell r="G259" t="str">
            <v>Non-Prime</v>
          </cell>
          <cell r="H259" t="str">
            <v>Non-Prime</v>
          </cell>
          <cell r="I259" t="str">
            <v>Non-Prime</v>
          </cell>
          <cell r="J259" t="str">
            <v>Non-Prime</v>
          </cell>
          <cell r="K259" t="str">
            <v>Non-Prime</v>
          </cell>
          <cell r="L259" t="str">
            <v>Non-Prime</v>
          </cell>
          <cell r="M259" t="str">
            <v>Non-Prime</v>
          </cell>
          <cell r="N259" t="str">
            <v>Non-Prime</v>
          </cell>
          <cell r="O259" t="str">
            <v>Non-Prime</v>
          </cell>
          <cell r="P259" t="str">
            <v>Non-Prime</v>
          </cell>
          <cell r="Q259" t="str">
            <v>Non-Prime</v>
          </cell>
          <cell r="R259" t="str">
            <v>Non-Prime</v>
          </cell>
          <cell r="S259" t="str">
            <v>Non-Prime</v>
          </cell>
          <cell r="T259" t="str">
            <v>Prime</v>
          </cell>
          <cell r="U259" t="str">
            <v>Prime</v>
          </cell>
          <cell r="V259" t="str">
            <v>Prime</v>
          </cell>
          <cell r="W259" t="str">
            <v>Prime</v>
          </cell>
          <cell r="X259" t="str">
            <v>Prime</v>
          </cell>
          <cell r="Y259" t="str">
            <v>Prime</v>
          </cell>
          <cell r="Z259" t="str">
            <v>Non-Prime</v>
          </cell>
          <cell r="AA259" t="str">
            <v>Non-Prime</v>
          </cell>
          <cell r="AB259" t="str">
            <v>Non-Prime</v>
          </cell>
          <cell r="AC259" t="str">
            <v>Non-Prime</v>
          </cell>
          <cell r="AD259" t="str">
            <v>Non-Prime</v>
          </cell>
          <cell r="AE259" t="str">
            <v>Non-Prime</v>
          </cell>
          <cell r="AF259" t="str">
            <v>Non-Prime</v>
          </cell>
        </row>
        <row r="260">
          <cell r="A260" t="str">
            <v>Tanzania</v>
          </cell>
          <cell r="B260" t="str">
            <v>Non-Prime</v>
          </cell>
          <cell r="C260" t="str">
            <v>Non-Prime</v>
          </cell>
          <cell r="D260" t="str">
            <v>Non-Prime</v>
          </cell>
          <cell r="E260" t="str">
            <v>Non-Prime</v>
          </cell>
          <cell r="F260" t="str">
            <v>Non-Prime</v>
          </cell>
          <cell r="G260" t="str">
            <v>Non-Prime</v>
          </cell>
          <cell r="H260" t="str">
            <v>Non-Prime</v>
          </cell>
          <cell r="I260" t="str">
            <v>Non-Prime</v>
          </cell>
          <cell r="J260" t="str">
            <v>Non-Prime</v>
          </cell>
          <cell r="K260" t="str">
            <v>Non-Prime</v>
          </cell>
          <cell r="L260" t="str">
            <v>Non-Prime</v>
          </cell>
          <cell r="M260" t="str">
            <v>Non-Prime</v>
          </cell>
          <cell r="N260" t="str">
            <v>Non-Prime</v>
          </cell>
          <cell r="O260" t="str">
            <v>Non-Prime</v>
          </cell>
          <cell r="P260" t="str">
            <v>Non-Prime</v>
          </cell>
          <cell r="Q260" t="str">
            <v>Non-Prime</v>
          </cell>
          <cell r="R260" t="str">
            <v>Non-Prime</v>
          </cell>
          <cell r="S260" t="str">
            <v>Non-Prime</v>
          </cell>
          <cell r="T260" t="str">
            <v>Non-Prime</v>
          </cell>
          <cell r="U260" t="str">
            <v>Non-Prime</v>
          </cell>
          <cell r="V260" t="str">
            <v>Prime</v>
          </cell>
          <cell r="W260" t="str">
            <v>Prime</v>
          </cell>
          <cell r="X260" t="str">
            <v>Prime</v>
          </cell>
          <cell r="Y260" t="str">
            <v>Prime</v>
          </cell>
          <cell r="Z260" t="str">
            <v>Non-Prime</v>
          </cell>
          <cell r="AA260" t="str">
            <v>Non-Prime</v>
          </cell>
          <cell r="AB260" t="str">
            <v>Non-Prime</v>
          </cell>
          <cell r="AC260" t="str">
            <v>Non-Prime</v>
          </cell>
          <cell r="AD260" t="str">
            <v>Non-Prime</v>
          </cell>
          <cell r="AE260" t="str">
            <v>Non-Prime</v>
          </cell>
          <cell r="AF260" t="str">
            <v>Non-Prime</v>
          </cell>
        </row>
        <row r="261">
          <cell r="A261" t="str">
            <v>Thailand</v>
          </cell>
          <cell r="B261" t="str">
            <v>Non-Prime</v>
          </cell>
          <cell r="C261" t="str">
            <v>Non-Prime</v>
          </cell>
          <cell r="D261" t="str">
            <v>Non-Prime</v>
          </cell>
          <cell r="E261" t="str">
            <v>Non-Prime</v>
          </cell>
          <cell r="F261" t="str">
            <v>Non-Prime</v>
          </cell>
          <cell r="G261" t="str">
            <v>Non-Prime</v>
          </cell>
          <cell r="H261" t="str">
            <v>Non-Prime</v>
          </cell>
          <cell r="I261" t="str">
            <v>Non-Prime</v>
          </cell>
          <cell r="J261" t="str">
            <v>Non-Prime</v>
          </cell>
          <cell r="K261" t="str">
            <v>Non-Prime</v>
          </cell>
          <cell r="L261" t="str">
            <v>Non-Prime</v>
          </cell>
          <cell r="M261" t="str">
            <v>Non-Prime</v>
          </cell>
          <cell r="N261" t="str">
            <v>Non-Prime</v>
          </cell>
          <cell r="O261" t="str">
            <v>Non-Prime</v>
          </cell>
          <cell r="P261" t="str">
            <v>Non-Prime</v>
          </cell>
          <cell r="Q261" t="str">
            <v>Non-Prime</v>
          </cell>
          <cell r="R261" t="str">
            <v>Non-Prime</v>
          </cell>
          <cell r="S261" t="str">
            <v>Non-Prime</v>
          </cell>
          <cell r="T261" t="str">
            <v>Non-Prime</v>
          </cell>
          <cell r="U261" t="str">
            <v>Non-Prime</v>
          </cell>
          <cell r="V261" t="str">
            <v>Prime</v>
          </cell>
          <cell r="W261" t="str">
            <v>Prime</v>
          </cell>
          <cell r="X261" t="str">
            <v>Prime</v>
          </cell>
          <cell r="Y261" t="str">
            <v>Prime</v>
          </cell>
          <cell r="Z261" t="str">
            <v>Non-Prime</v>
          </cell>
          <cell r="AA261" t="str">
            <v>Non-Prime</v>
          </cell>
          <cell r="AB261" t="str">
            <v>Non-Prime</v>
          </cell>
          <cell r="AC261" t="str">
            <v>Non-Prime</v>
          </cell>
          <cell r="AD261" t="str">
            <v>Non-Prime</v>
          </cell>
          <cell r="AE261" t="str">
            <v>Non-Prime</v>
          </cell>
          <cell r="AF261" t="str">
            <v>Non-Prime</v>
          </cell>
        </row>
        <row r="262">
          <cell r="A262" t="str">
            <v>Togo</v>
          </cell>
          <cell r="B262" t="str">
            <v>Non-Prime</v>
          </cell>
          <cell r="C262" t="str">
            <v>Non-Prime</v>
          </cell>
          <cell r="D262" t="str">
            <v>Non-Prime</v>
          </cell>
          <cell r="E262" t="str">
            <v>Non-Prime</v>
          </cell>
          <cell r="F262" t="str">
            <v>Non-Prime</v>
          </cell>
          <cell r="G262" t="str">
            <v>Non-Prime</v>
          </cell>
          <cell r="H262" t="str">
            <v>Non-Prime</v>
          </cell>
          <cell r="I262" t="str">
            <v>Non-Prime</v>
          </cell>
          <cell r="J262" t="str">
            <v>Non-Prime</v>
          </cell>
          <cell r="K262" t="str">
            <v>Non-Prime</v>
          </cell>
          <cell r="L262" t="str">
            <v>Non-Prime</v>
          </cell>
          <cell r="M262" t="str">
            <v>Non-Prime</v>
          </cell>
          <cell r="N262" t="str">
            <v>Non-Prime</v>
          </cell>
          <cell r="O262" t="str">
            <v>Non-Prime</v>
          </cell>
          <cell r="P262" t="str">
            <v>Non-Prime</v>
          </cell>
          <cell r="Q262" t="str">
            <v>Non-Prime</v>
          </cell>
          <cell r="R262" t="str">
            <v>Non-Prime</v>
          </cell>
          <cell r="S262" t="str">
            <v>Non-Prime</v>
          </cell>
          <cell r="T262" t="str">
            <v>Prime</v>
          </cell>
          <cell r="U262" t="str">
            <v>Prime</v>
          </cell>
          <cell r="V262" t="str">
            <v>Prime</v>
          </cell>
          <cell r="W262" t="str">
            <v>Prime</v>
          </cell>
          <cell r="X262" t="str">
            <v>Prime</v>
          </cell>
          <cell r="Y262" t="str">
            <v>Prime</v>
          </cell>
          <cell r="Z262" t="str">
            <v>Non-Prime</v>
          </cell>
          <cell r="AA262" t="str">
            <v>Non-Prime</v>
          </cell>
          <cell r="AB262" t="str">
            <v>Non-Prime</v>
          </cell>
          <cell r="AC262" t="str">
            <v>Non-Prime</v>
          </cell>
          <cell r="AD262" t="str">
            <v>Non-Prime</v>
          </cell>
          <cell r="AE262" t="str">
            <v>Non-Prime</v>
          </cell>
          <cell r="AF262" t="str">
            <v>Non-Prime</v>
          </cell>
        </row>
        <row r="263">
          <cell r="A263" t="str">
            <v>Tokelau</v>
          </cell>
          <cell r="B263" t="str">
            <v>Non-Prime</v>
          </cell>
          <cell r="C263" t="str">
            <v>Non-Prime</v>
          </cell>
          <cell r="D263" t="str">
            <v>Non-Prime</v>
          </cell>
          <cell r="E263" t="str">
            <v>Non-Prime</v>
          </cell>
          <cell r="F263" t="str">
            <v>Non-Prime</v>
          </cell>
          <cell r="G263" t="str">
            <v>Non-Prime</v>
          </cell>
          <cell r="H263" t="str">
            <v>Non-Prime</v>
          </cell>
          <cell r="I263" t="str">
            <v>Non-Prime</v>
          </cell>
          <cell r="J263" t="str">
            <v>Non-Prime</v>
          </cell>
          <cell r="K263" t="str">
            <v>Non-Prime</v>
          </cell>
          <cell r="L263" t="str">
            <v>Non-Prime</v>
          </cell>
          <cell r="M263" t="str">
            <v>Non-Prime</v>
          </cell>
          <cell r="N263" t="str">
            <v>Non-Prime</v>
          </cell>
          <cell r="O263" t="str">
            <v>Non-Prime</v>
          </cell>
          <cell r="P263" t="str">
            <v>Non-Prime</v>
          </cell>
          <cell r="Q263" t="str">
            <v>Non-Prime</v>
          </cell>
          <cell r="R263" t="str">
            <v>Non-Prime</v>
          </cell>
          <cell r="S263" t="str">
            <v>Non-Prime</v>
          </cell>
          <cell r="T263" t="str">
            <v>Prime</v>
          </cell>
          <cell r="U263" t="str">
            <v>Prime</v>
          </cell>
          <cell r="V263" t="str">
            <v>Prime</v>
          </cell>
          <cell r="W263" t="str">
            <v>Prime</v>
          </cell>
          <cell r="X263" t="str">
            <v>Prime</v>
          </cell>
          <cell r="Y263" t="str">
            <v>Prime</v>
          </cell>
          <cell r="Z263" t="str">
            <v>Non-Prime</v>
          </cell>
          <cell r="AA263" t="str">
            <v>Non-Prime</v>
          </cell>
          <cell r="AB263" t="str">
            <v>Non-Prime</v>
          </cell>
          <cell r="AC263" t="str">
            <v>Non-Prime</v>
          </cell>
          <cell r="AD263" t="str">
            <v>Non-Prime</v>
          </cell>
          <cell r="AE263" t="str">
            <v>Non-Prime</v>
          </cell>
          <cell r="AF263" t="str">
            <v>Non-Prime</v>
          </cell>
        </row>
        <row r="264">
          <cell r="A264" t="str">
            <v>Tonga</v>
          </cell>
          <cell r="B264" t="str">
            <v>Non-Prime</v>
          </cell>
          <cell r="C264" t="str">
            <v>Non-Prime</v>
          </cell>
          <cell r="D264" t="str">
            <v>Non-Prime</v>
          </cell>
          <cell r="E264" t="str">
            <v>Non-Prime</v>
          </cell>
          <cell r="F264" t="str">
            <v>Non-Prime</v>
          </cell>
          <cell r="G264" t="str">
            <v>Non-Prime</v>
          </cell>
          <cell r="H264" t="str">
            <v>Non-Prime</v>
          </cell>
          <cell r="I264" t="str">
            <v>Non-Prime</v>
          </cell>
          <cell r="J264" t="str">
            <v>Non-Prime</v>
          </cell>
          <cell r="K264" t="str">
            <v>Non-Prime</v>
          </cell>
          <cell r="L264" t="str">
            <v>Non-Prime</v>
          </cell>
          <cell r="M264" t="str">
            <v>Non-Prime</v>
          </cell>
          <cell r="N264" t="str">
            <v>Non-Prime</v>
          </cell>
          <cell r="O264" t="str">
            <v>Non-Prime</v>
          </cell>
          <cell r="P264" t="str">
            <v>Non-Prime</v>
          </cell>
          <cell r="Q264" t="str">
            <v>Non-Prime</v>
          </cell>
          <cell r="R264" t="str">
            <v>Non-Prime</v>
          </cell>
          <cell r="S264" t="str">
            <v>Non-Prime</v>
          </cell>
          <cell r="T264" t="str">
            <v>Prime</v>
          </cell>
          <cell r="U264" t="str">
            <v>Prime</v>
          </cell>
          <cell r="V264" t="str">
            <v>Prime</v>
          </cell>
          <cell r="W264" t="str">
            <v>Prime</v>
          </cell>
          <cell r="X264" t="str">
            <v>Prime</v>
          </cell>
          <cell r="Y264" t="str">
            <v>Prime</v>
          </cell>
          <cell r="Z264" t="str">
            <v>Non-Prime</v>
          </cell>
          <cell r="AA264" t="str">
            <v>Non-Prime</v>
          </cell>
          <cell r="AB264" t="str">
            <v>Non-Prime</v>
          </cell>
          <cell r="AC264" t="str">
            <v>Non-Prime</v>
          </cell>
          <cell r="AD264" t="str">
            <v>Non-Prime</v>
          </cell>
          <cell r="AE264" t="str">
            <v>Non-Prime</v>
          </cell>
          <cell r="AF264" t="str">
            <v>Non-Prime</v>
          </cell>
        </row>
        <row r="265">
          <cell r="A265" t="str">
            <v>Trinidad &amp; Tobago</v>
          </cell>
          <cell r="B265" t="str">
            <v>Non-Prime</v>
          </cell>
          <cell r="C265" t="str">
            <v>Non-Prime</v>
          </cell>
          <cell r="D265" t="str">
            <v>Non-Prime</v>
          </cell>
          <cell r="E265" t="str">
            <v>Non-Prime</v>
          </cell>
          <cell r="F265" t="str">
            <v>Non-Prime</v>
          </cell>
          <cell r="G265" t="str">
            <v>Non-Prime</v>
          </cell>
          <cell r="H265" t="str">
            <v>Non-Prime</v>
          </cell>
          <cell r="I265" t="str">
            <v>Non-Prime</v>
          </cell>
          <cell r="J265" t="str">
            <v>Non-Prime</v>
          </cell>
          <cell r="K265" t="str">
            <v>Non-Prime</v>
          </cell>
          <cell r="L265" t="str">
            <v>Non-Prime</v>
          </cell>
          <cell r="M265" t="str">
            <v>Non-Prime</v>
          </cell>
          <cell r="N265" t="str">
            <v>Non-Prime</v>
          </cell>
          <cell r="O265" t="str">
            <v>Non-Prime</v>
          </cell>
          <cell r="P265" t="str">
            <v>Non-Prime</v>
          </cell>
          <cell r="Q265" t="str">
            <v>Non-Prime</v>
          </cell>
          <cell r="R265" t="str">
            <v>Non-Prime</v>
          </cell>
          <cell r="S265" t="str">
            <v>Non-Prime</v>
          </cell>
          <cell r="T265" t="str">
            <v>Prime</v>
          </cell>
          <cell r="U265" t="str">
            <v>Prime</v>
          </cell>
          <cell r="V265" t="str">
            <v>Prime</v>
          </cell>
          <cell r="W265" t="str">
            <v>Prime</v>
          </cell>
          <cell r="X265" t="str">
            <v>Prime</v>
          </cell>
          <cell r="Y265" t="str">
            <v>Prime</v>
          </cell>
          <cell r="Z265" t="str">
            <v>Non-Prime</v>
          </cell>
          <cell r="AA265" t="str">
            <v>Non-Prime</v>
          </cell>
          <cell r="AB265" t="str">
            <v>Non-Prime</v>
          </cell>
          <cell r="AC265" t="str">
            <v>Non-Prime</v>
          </cell>
          <cell r="AD265" t="str">
            <v>Non-Prime</v>
          </cell>
          <cell r="AE265" t="str">
            <v>Non-Prime</v>
          </cell>
          <cell r="AF265" t="str">
            <v>Non-Prime</v>
          </cell>
        </row>
        <row r="266">
          <cell r="A266" t="str">
            <v>Trinidad and Tobago</v>
          </cell>
          <cell r="B266" t="str">
            <v>Non-Prime</v>
          </cell>
          <cell r="C266" t="str">
            <v>Non-Prime</v>
          </cell>
          <cell r="D266" t="str">
            <v>Non-Prime</v>
          </cell>
          <cell r="E266" t="str">
            <v>Non-Prime</v>
          </cell>
          <cell r="F266" t="str">
            <v>Non-Prime</v>
          </cell>
          <cell r="G266" t="str">
            <v>Non-Prime</v>
          </cell>
          <cell r="H266" t="str">
            <v>Non-Prime</v>
          </cell>
          <cell r="I266" t="str">
            <v>Non-Prime</v>
          </cell>
          <cell r="J266" t="str">
            <v>Non-Prime</v>
          </cell>
          <cell r="K266" t="str">
            <v>Non-Prime</v>
          </cell>
          <cell r="L266" t="str">
            <v>Non-Prime</v>
          </cell>
          <cell r="M266" t="str">
            <v>Non-Prime</v>
          </cell>
          <cell r="N266" t="str">
            <v>Non-Prime</v>
          </cell>
          <cell r="O266" t="str">
            <v>Non-Prime</v>
          </cell>
          <cell r="P266" t="str">
            <v>Non-Prime</v>
          </cell>
          <cell r="Q266" t="str">
            <v>Non-Prime</v>
          </cell>
          <cell r="R266" t="str">
            <v>Non-Prime</v>
          </cell>
          <cell r="S266" t="str">
            <v>Non-Prime</v>
          </cell>
          <cell r="T266" t="str">
            <v>Prime</v>
          </cell>
          <cell r="U266" t="str">
            <v>Prime</v>
          </cell>
          <cell r="V266" t="str">
            <v>Prime</v>
          </cell>
          <cell r="W266" t="str">
            <v>Prime</v>
          </cell>
          <cell r="X266" t="str">
            <v>Prime</v>
          </cell>
          <cell r="Y266" t="str">
            <v>Prime</v>
          </cell>
          <cell r="Z266" t="str">
            <v>Non-Prime</v>
          </cell>
          <cell r="AA266" t="str">
            <v>Non-Prime</v>
          </cell>
          <cell r="AB266" t="str">
            <v>Non-Prime</v>
          </cell>
          <cell r="AC266" t="str">
            <v>Non-Prime</v>
          </cell>
          <cell r="AD266" t="str">
            <v>Non-Prime</v>
          </cell>
          <cell r="AE266" t="str">
            <v>Non-Prime</v>
          </cell>
          <cell r="AF266" t="str">
            <v>Non-Prime</v>
          </cell>
        </row>
        <row r="267">
          <cell r="A267" t="str">
            <v>Tunesia</v>
          </cell>
          <cell r="B267" t="str">
            <v>Non-Prime</v>
          </cell>
          <cell r="C267" t="str">
            <v>Non-Prime</v>
          </cell>
          <cell r="D267" t="str">
            <v>Non-Prime</v>
          </cell>
          <cell r="E267" t="str">
            <v>Non-Prime</v>
          </cell>
          <cell r="F267" t="str">
            <v>Non-Prime</v>
          </cell>
          <cell r="G267" t="str">
            <v>Non-Prime</v>
          </cell>
          <cell r="H267" t="str">
            <v>Non-Prime</v>
          </cell>
          <cell r="I267" t="str">
            <v>Non-Prime</v>
          </cell>
          <cell r="J267" t="str">
            <v>Non-Prime</v>
          </cell>
          <cell r="K267" t="str">
            <v>Non-Prime</v>
          </cell>
          <cell r="L267" t="str">
            <v>Non-Prime</v>
          </cell>
          <cell r="M267" t="str">
            <v>Non-Prime</v>
          </cell>
          <cell r="N267" t="str">
            <v>Non-Prime</v>
          </cell>
          <cell r="O267" t="str">
            <v>Non-Prime</v>
          </cell>
          <cell r="P267" t="str">
            <v>Non-Prime</v>
          </cell>
          <cell r="Q267" t="str">
            <v>Non-Prime</v>
          </cell>
          <cell r="R267" t="str">
            <v>Non-Prime</v>
          </cell>
          <cell r="S267" t="str">
            <v>Non-Prime</v>
          </cell>
          <cell r="T267" t="str">
            <v>Prime</v>
          </cell>
          <cell r="U267" t="str">
            <v>Prime</v>
          </cell>
          <cell r="V267" t="str">
            <v>Prime</v>
          </cell>
          <cell r="W267" t="str">
            <v>Prime</v>
          </cell>
          <cell r="X267" t="str">
            <v>Prime</v>
          </cell>
          <cell r="Y267" t="str">
            <v>Prime</v>
          </cell>
          <cell r="Z267" t="str">
            <v>Non-Prime</v>
          </cell>
          <cell r="AA267" t="str">
            <v>Non-Prime</v>
          </cell>
          <cell r="AB267" t="str">
            <v>Non-Prime</v>
          </cell>
          <cell r="AC267" t="str">
            <v>Non-Prime</v>
          </cell>
          <cell r="AD267" t="str">
            <v>Non-Prime</v>
          </cell>
          <cell r="AE267" t="str">
            <v>Non-Prime</v>
          </cell>
          <cell r="AF267" t="str">
            <v>Non-Prime</v>
          </cell>
        </row>
        <row r="268">
          <cell r="A268" t="str">
            <v>Tunisia</v>
          </cell>
          <cell r="B268" t="str">
            <v>Non-Prime</v>
          </cell>
          <cell r="C268" t="str">
            <v>Non-Prime</v>
          </cell>
          <cell r="D268" t="str">
            <v>Non-Prime</v>
          </cell>
          <cell r="E268" t="str">
            <v>Non-Prime</v>
          </cell>
          <cell r="F268" t="str">
            <v>Non-Prime</v>
          </cell>
          <cell r="G268" t="str">
            <v>Non-Prime</v>
          </cell>
          <cell r="H268" t="str">
            <v>Non-Prime</v>
          </cell>
          <cell r="I268" t="str">
            <v>Non-Prime</v>
          </cell>
          <cell r="J268" t="str">
            <v>Non-Prime</v>
          </cell>
          <cell r="K268" t="str">
            <v>Non-Prime</v>
          </cell>
          <cell r="L268" t="str">
            <v>Non-Prime</v>
          </cell>
          <cell r="M268" t="str">
            <v>Non-Prime</v>
          </cell>
          <cell r="N268" t="str">
            <v>Non-Prime</v>
          </cell>
          <cell r="O268" t="str">
            <v>Non-Prime</v>
          </cell>
          <cell r="P268" t="str">
            <v>Non-Prime</v>
          </cell>
          <cell r="Q268" t="str">
            <v>Non-Prime</v>
          </cell>
          <cell r="R268" t="str">
            <v>Non-Prime</v>
          </cell>
          <cell r="S268" t="str">
            <v>Non-Prime</v>
          </cell>
          <cell r="T268" t="str">
            <v>Non-Prime</v>
          </cell>
          <cell r="U268" t="str">
            <v>Non-Prime</v>
          </cell>
          <cell r="V268" t="str">
            <v>Prime</v>
          </cell>
          <cell r="W268" t="str">
            <v>Prime</v>
          </cell>
          <cell r="X268" t="str">
            <v>Prime</v>
          </cell>
          <cell r="Y268" t="str">
            <v>Prime</v>
          </cell>
          <cell r="Z268" t="str">
            <v>Non-Prime</v>
          </cell>
          <cell r="AA268" t="str">
            <v>Non-Prime</v>
          </cell>
          <cell r="AB268" t="str">
            <v>Non-Prime</v>
          </cell>
          <cell r="AC268" t="str">
            <v>Non-Prime</v>
          </cell>
          <cell r="AD268" t="str">
            <v>Non-Prime</v>
          </cell>
          <cell r="AE268" t="str">
            <v>Non-Prime</v>
          </cell>
          <cell r="AF268" t="str">
            <v>Non-Prime</v>
          </cell>
        </row>
        <row r="269">
          <cell r="A269" t="str">
            <v>Turkey</v>
          </cell>
          <cell r="B269" t="str">
            <v>Non-Prime</v>
          </cell>
          <cell r="C269" t="str">
            <v>Non-Prime</v>
          </cell>
          <cell r="D269" t="str">
            <v>Non-Prime</v>
          </cell>
          <cell r="E269" t="str">
            <v>Non-Prime</v>
          </cell>
          <cell r="F269" t="str">
            <v>Non-Prime</v>
          </cell>
          <cell r="G269" t="str">
            <v>Non-Prime</v>
          </cell>
          <cell r="H269" t="str">
            <v>Non-Prime</v>
          </cell>
          <cell r="I269" t="str">
            <v>Non-Prime</v>
          </cell>
          <cell r="J269" t="str">
            <v>Non-Prime</v>
          </cell>
          <cell r="K269" t="str">
            <v>Non-Prime</v>
          </cell>
          <cell r="L269" t="str">
            <v>Non-Prime</v>
          </cell>
          <cell r="M269" t="str">
            <v>Non-Prime</v>
          </cell>
          <cell r="N269" t="str">
            <v>Non-Prime</v>
          </cell>
          <cell r="O269" t="str">
            <v>Non-Prime</v>
          </cell>
          <cell r="P269" t="str">
            <v>Non-Prime</v>
          </cell>
          <cell r="Q269" t="str">
            <v>Non-Prime</v>
          </cell>
          <cell r="R269" t="str">
            <v>Non-Prime</v>
          </cell>
          <cell r="S269" t="str">
            <v>Non-Prime</v>
          </cell>
          <cell r="T269" t="str">
            <v>Prime</v>
          </cell>
          <cell r="U269" t="str">
            <v>Prime</v>
          </cell>
          <cell r="V269" t="str">
            <v>Prime</v>
          </cell>
          <cell r="W269" t="str">
            <v>Prime</v>
          </cell>
          <cell r="X269" t="str">
            <v>Prime</v>
          </cell>
          <cell r="Y269" t="str">
            <v>Prime</v>
          </cell>
          <cell r="Z269" t="str">
            <v>Non-Prime</v>
          </cell>
          <cell r="AA269" t="str">
            <v>Non-Prime</v>
          </cell>
          <cell r="AB269" t="str">
            <v>Non-Prime</v>
          </cell>
          <cell r="AC269" t="str">
            <v>Non-Prime</v>
          </cell>
          <cell r="AD269" t="str">
            <v>Non-Prime</v>
          </cell>
          <cell r="AE269" t="str">
            <v>Non-Prime</v>
          </cell>
          <cell r="AF269" t="str">
            <v>Non-Prime</v>
          </cell>
        </row>
        <row r="270">
          <cell r="A270" t="str">
            <v>UAE</v>
          </cell>
          <cell r="B270" t="str">
            <v>Non-Prime</v>
          </cell>
          <cell r="C270" t="str">
            <v>Non-Prime</v>
          </cell>
          <cell r="D270" t="str">
            <v>Non-Prime</v>
          </cell>
          <cell r="E270" t="str">
            <v>Non-Prime</v>
          </cell>
          <cell r="F270" t="str">
            <v>Non-Prime</v>
          </cell>
          <cell r="G270" t="str">
            <v>Non-Prime</v>
          </cell>
          <cell r="H270" t="str">
            <v>Non-Prime</v>
          </cell>
          <cell r="I270" t="str">
            <v>Non-Prime</v>
          </cell>
          <cell r="J270" t="str">
            <v>Non-Prime</v>
          </cell>
          <cell r="K270" t="str">
            <v>Non-Prime</v>
          </cell>
          <cell r="L270" t="str">
            <v>Non-Prime</v>
          </cell>
          <cell r="M270" t="str">
            <v>Non-Prime</v>
          </cell>
          <cell r="N270" t="str">
            <v>Non-Prime</v>
          </cell>
          <cell r="O270" t="str">
            <v>Non-Prime</v>
          </cell>
          <cell r="P270" t="str">
            <v>Non-Prime</v>
          </cell>
          <cell r="Q270" t="str">
            <v>Non-Prime</v>
          </cell>
          <cell r="R270" t="str">
            <v>Non-Prime</v>
          </cell>
          <cell r="S270" t="str">
            <v>Non-Prime</v>
          </cell>
          <cell r="T270" t="str">
            <v>Non-Prime</v>
          </cell>
          <cell r="U270" t="str">
            <v>Non-Prime</v>
          </cell>
          <cell r="V270" t="str">
            <v>Prime</v>
          </cell>
          <cell r="W270" t="str">
            <v>Prime</v>
          </cell>
          <cell r="X270" t="str">
            <v>Prime</v>
          </cell>
          <cell r="Y270" t="str">
            <v>Prime</v>
          </cell>
          <cell r="Z270" t="str">
            <v>Non-Prime</v>
          </cell>
          <cell r="AA270" t="str">
            <v>Non-Prime</v>
          </cell>
          <cell r="AB270" t="str">
            <v>Non-Prime</v>
          </cell>
          <cell r="AC270" t="str">
            <v>Non-Prime</v>
          </cell>
          <cell r="AD270" t="str">
            <v>Non-Prime</v>
          </cell>
          <cell r="AE270" t="str">
            <v>Non-Prime</v>
          </cell>
          <cell r="AF270" t="str">
            <v>Non-Prime</v>
          </cell>
        </row>
        <row r="271">
          <cell r="A271" t="str">
            <v>Uganda</v>
          </cell>
          <cell r="B271" t="str">
            <v>Non-Prime</v>
          </cell>
          <cell r="C271" t="str">
            <v>Non-Prime</v>
          </cell>
          <cell r="D271" t="str">
            <v>Non-Prime</v>
          </cell>
          <cell r="E271" t="str">
            <v>Non-Prime</v>
          </cell>
          <cell r="F271" t="str">
            <v>Non-Prime</v>
          </cell>
          <cell r="G271" t="str">
            <v>Non-Prime</v>
          </cell>
          <cell r="H271" t="str">
            <v>Non-Prime</v>
          </cell>
          <cell r="I271" t="str">
            <v>Non-Prime</v>
          </cell>
          <cell r="J271" t="str">
            <v>Non-Prime</v>
          </cell>
          <cell r="K271" t="str">
            <v>Non-Prime</v>
          </cell>
          <cell r="L271" t="str">
            <v>Non-Prime</v>
          </cell>
          <cell r="M271" t="str">
            <v>Non-Prime</v>
          </cell>
          <cell r="N271" t="str">
            <v>Non-Prime</v>
          </cell>
          <cell r="O271" t="str">
            <v>Non-Prime</v>
          </cell>
          <cell r="P271" t="str">
            <v>Non-Prime</v>
          </cell>
          <cell r="Q271" t="str">
            <v>Non-Prime</v>
          </cell>
          <cell r="R271" t="str">
            <v>Non-Prime</v>
          </cell>
          <cell r="S271" t="str">
            <v>Non-Prime</v>
          </cell>
          <cell r="T271" t="str">
            <v>Prime</v>
          </cell>
          <cell r="U271" t="str">
            <v>Prime</v>
          </cell>
          <cell r="V271" t="str">
            <v>Prime</v>
          </cell>
          <cell r="W271" t="str">
            <v>Prime</v>
          </cell>
          <cell r="X271" t="str">
            <v>Prime</v>
          </cell>
          <cell r="Y271" t="str">
            <v>Prime</v>
          </cell>
          <cell r="Z271" t="str">
            <v>Non-Prime</v>
          </cell>
          <cell r="AA271" t="str">
            <v>Non-Prime</v>
          </cell>
          <cell r="AB271" t="str">
            <v>Non-Prime</v>
          </cell>
          <cell r="AC271" t="str">
            <v>Non-Prime</v>
          </cell>
          <cell r="AD271" t="str">
            <v>Non-Prime</v>
          </cell>
          <cell r="AE271" t="str">
            <v>Non-Prime</v>
          </cell>
          <cell r="AF271" t="str">
            <v>Non-Prime</v>
          </cell>
        </row>
        <row r="272">
          <cell r="A272" t="str">
            <v>Ukraine</v>
          </cell>
          <cell r="B272" t="str">
            <v>Non-Prime</v>
          </cell>
          <cell r="C272" t="str">
            <v>Non-Prime</v>
          </cell>
          <cell r="D272" t="str">
            <v>Non-Prime</v>
          </cell>
          <cell r="E272" t="str">
            <v>Non-Prime</v>
          </cell>
          <cell r="F272" t="str">
            <v>Non-Prime</v>
          </cell>
          <cell r="G272" t="str">
            <v>Non-Prime</v>
          </cell>
          <cell r="H272" t="str">
            <v>Non-Prime</v>
          </cell>
          <cell r="I272" t="str">
            <v>Non-Prime</v>
          </cell>
          <cell r="J272" t="str">
            <v>Non-Prime</v>
          </cell>
          <cell r="K272" t="str">
            <v>Non-Prime</v>
          </cell>
          <cell r="L272" t="str">
            <v>Non-Prime</v>
          </cell>
          <cell r="M272" t="str">
            <v>Non-Prime</v>
          </cell>
          <cell r="N272" t="str">
            <v>Non-Prime</v>
          </cell>
          <cell r="O272" t="str">
            <v>Non-Prime</v>
          </cell>
          <cell r="P272" t="str">
            <v>Non-Prime</v>
          </cell>
          <cell r="Q272" t="str">
            <v>Non-Prime</v>
          </cell>
          <cell r="R272" t="str">
            <v>Non-Prime</v>
          </cell>
          <cell r="S272" t="str">
            <v>Non-Prime</v>
          </cell>
          <cell r="T272" t="str">
            <v>Non-Prime</v>
          </cell>
          <cell r="U272" t="str">
            <v>Prime</v>
          </cell>
          <cell r="V272" t="str">
            <v>Prime</v>
          </cell>
          <cell r="W272" t="str">
            <v>Prime</v>
          </cell>
          <cell r="X272" t="str">
            <v>Prime</v>
          </cell>
          <cell r="Y272" t="str">
            <v>Non-Prime</v>
          </cell>
          <cell r="Z272" t="str">
            <v>Non-Prime</v>
          </cell>
          <cell r="AA272" t="str">
            <v>Non-Prime</v>
          </cell>
          <cell r="AB272" t="str">
            <v>Non-Prime</v>
          </cell>
          <cell r="AC272" t="str">
            <v>Non-Prime</v>
          </cell>
          <cell r="AD272" t="str">
            <v>Non-Prime</v>
          </cell>
          <cell r="AE272" t="str">
            <v>Non-Prime</v>
          </cell>
          <cell r="AF272" t="str">
            <v>Non-Prime</v>
          </cell>
        </row>
        <row r="273">
          <cell r="A273" t="str">
            <v>United Arab Emirates</v>
          </cell>
          <cell r="B273" t="str">
            <v>Non-Prime</v>
          </cell>
          <cell r="C273" t="str">
            <v>Non-Prime</v>
          </cell>
          <cell r="D273" t="str">
            <v>Non-Prime</v>
          </cell>
          <cell r="E273" t="str">
            <v>Non-Prime</v>
          </cell>
          <cell r="F273" t="str">
            <v>Non-Prime</v>
          </cell>
          <cell r="G273" t="str">
            <v>Non-Prime</v>
          </cell>
          <cell r="H273" t="str">
            <v>Non-Prime</v>
          </cell>
          <cell r="I273" t="str">
            <v>Non-Prime</v>
          </cell>
          <cell r="J273" t="str">
            <v>Non-Prime</v>
          </cell>
          <cell r="K273" t="str">
            <v>Non-Prime</v>
          </cell>
          <cell r="L273" t="str">
            <v>Non-Prime</v>
          </cell>
          <cell r="M273" t="str">
            <v>Non-Prime</v>
          </cell>
          <cell r="N273" t="str">
            <v>Non-Prime</v>
          </cell>
          <cell r="O273" t="str">
            <v>Non-Prime</v>
          </cell>
          <cell r="P273" t="str">
            <v>Non-Prime</v>
          </cell>
          <cell r="Q273" t="str">
            <v>Non-Prime</v>
          </cell>
          <cell r="R273" t="str">
            <v>Non-Prime</v>
          </cell>
          <cell r="S273" t="str">
            <v>Non-Prime</v>
          </cell>
          <cell r="T273" t="str">
            <v>Prime</v>
          </cell>
          <cell r="U273" t="str">
            <v>Prime</v>
          </cell>
          <cell r="V273" t="str">
            <v>Prime</v>
          </cell>
          <cell r="W273" t="str">
            <v>Prime</v>
          </cell>
          <cell r="X273" t="str">
            <v>Prime</v>
          </cell>
          <cell r="Y273" t="str">
            <v>Prime</v>
          </cell>
          <cell r="Z273" t="str">
            <v>Non-Prime</v>
          </cell>
          <cell r="AA273" t="str">
            <v>Non-Prime</v>
          </cell>
          <cell r="AB273" t="str">
            <v>Non-Prime</v>
          </cell>
          <cell r="AC273" t="str">
            <v>Non-Prime</v>
          </cell>
          <cell r="AD273" t="str">
            <v>Non-Prime</v>
          </cell>
          <cell r="AE273" t="str">
            <v>Non-Prime</v>
          </cell>
          <cell r="AF273" t="str">
            <v>Non-Prime</v>
          </cell>
        </row>
        <row r="274">
          <cell r="A274" t="str">
            <v>United Kingdom</v>
          </cell>
          <cell r="B274" t="str">
            <v>Non-Prime</v>
          </cell>
          <cell r="C274" t="str">
            <v>Non-Prime</v>
          </cell>
          <cell r="D274" t="str">
            <v>Non-Prime</v>
          </cell>
          <cell r="E274" t="str">
            <v>Non-Prime</v>
          </cell>
          <cell r="F274" t="str">
            <v>Non-Prime</v>
          </cell>
          <cell r="G274" t="str">
            <v>Non-Prime</v>
          </cell>
          <cell r="H274" t="str">
            <v>Non-Prime</v>
          </cell>
          <cell r="I274" t="str">
            <v>Non-Prime</v>
          </cell>
          <cell r="J274" t="str">
            <v>Non-Prime</v>
          </cell>
          <cell r="K274" t="str">
            <v>Non-Prime</v>
          </cell>
          <cell r="L274" t="str">
            <v>Non-Prime</v>
          </cell>
          <cell r="M274" t="str">
            <v>Non-Prime</v>
          </cell>
          <cell r="N274" t="str">
            <v>Non-Prime</v>
          </cell>
          <cell r="O274" t="str">
            <v>Non-Prime</v>
          </cell>
          <cell r="P274" t="str">
            <v>Non-Prime</v>
          </cell>
          <cell r="Q274" t="str">
            <v>Non-Prime</v>
          </cell>
          <cell r="R274" t="str">
            <v>Non-Prime</v>
          </cell>
          <cell r="S274" t="str">
            <v>Non-Prime</v>
          </cell>
          <cell r="T274" t="str">
            <v>Prime</v>
          </cell>
          <cell r="U274" t="str">
            <v>Prime</v>
          </cell>
          <cell r="V274" t="str">
            <v>Prime</v>
          </cell>
          <cell r="W274" t="str">
            <v>Prime</v>
          </cell>
          <cell r="X274" t="str">
            <v>Prime</v>
          </cell>
          <cell r="Y274" t="str">
            <v>Non-Prime</v>
          </cell>
          <cell r="Z274" t="str">
            <v>Non-Prime</v>
          </cell>
          <cell r="AA274" t="str">
            <v>Non-Prime</v>
          </cell>
          <cell r="AB274" t="str">
            <v>Non-Prime</v>
          </cell>
          <cell r="AC274" t="str">
            <v>Non-Prime</v>
          </cell>
          <cell r="AD274" t="str">
            <v>Non-Prime</v>
          </cell>
          <cell r="AE274" t="str">
            <v>Non-Prime</v>
          </cell>
          <cell r="AF274" t="str">
            <v>Non-Prime</v>
          </cell>
        </row>
        <row r="275">
          <cell r="A275" t="str">
            <v>United States</v>
          </cell>
          <cell r="B275" t="str">
            <v>Non-Prime</v>
          </cell>
          <cell r="C275" t="str">
            <v>Non-Prime</v>
          </cell>
          <cell r="D275" t="str">
            <v>Non-Prime</v>
          </cell>
          <cell r="E275" t="str">
            <v>Non-Prime</v>
          </cell>
          <cell r="F275" t="str">
            <v>Non-Prime</v>
          </cell>
          <cell r="G275" t="str">
            <v>Non-Prime</v>
          </cell>
          <cell r="H275" t="str">
            <v>Non-Prime</v>
          </cell>
          <cell r="I275" t="str">
            <v>Non-Prime</v>
          </cell>
          <cell r="J275" t="str">
            <v>Non-Prime</v>
          </cell>
          <cell r="K275" t="str">
            <v>Non-Prime</v>
          </cell>
          <cell r="L275" t="str">
            <v>Non-Prime</v>
          </cell>
          <cell r="M275" t="str">
            <v>Non-Prime</v>
          </cell>
          <cell r="N275" t="str">
            <v>Non-Prime</v>
          </cell>
          <cell r="O275" t="str">
            <v>Non-Prime</v>
          </cell>
          <cell r="P275" t="str">
            <v>Non-Prime</v>
          </cell>
          <cell r="Q275" t="str">
            <v>Non-Prime</v>
          </cell>
          <cell r="R275" t="str">
            <v>Non-Prime</v>
          </cell>
          <cell r="S275" t="str">
            <v>Non-Prime</v>
          </cell>
          <cell r="T275" t="str">
            <v>Non-Prime</v>
          </cell>
          <cell r="U275" t="str">
            <v>Prime</v>
          </cell>
          <cell r="V275" t="str">
            <v>Prime</v>
          </cell>
          <cell r="W275" t="str">
            <v>Prime</v>
          </cell>
          <cell r="X275" t="str">
            <v>Prime</v>
          </cell>
          <cell r="Y275" t="str">
            <v>Prime</v>
          </cell>
          <cell r="Z275" t="str">
            <v>Non-Prime</v>
          </cell>
          <cell r="AA275" t="str">
            <v>Non-Prime</v>
          </cell>
          <cell r="AB275" t="str">
            <v>Non-Prime</v>
          </cell>
          <cell r="AC275" t="str">
            <v>Non-Prime</v>
          </cell>
          <cell r="AD275" t="str">
            <v>Non-Prime</v>
          </cell>
          <cell r="AE275" t="str">
            <v>Non-Prime</v>
          </cell>
          <cell r="AF275" t="str">
            <v>Non-Prime</v>
          </cell>
        </row>
        <row r="276">
          <cell r="A276" t="str">
            <v>United States of America</v>
          </cell>
          <cell r="B276" t="str">
            <v>Non-Prime</v>
          </cell>
          <cell r="C276" t="str">
            <v>Non-Prime</v>
          </cell>
          <cell r="D276" t="str">
            <v>Non-Prime</v>
          </cell>
          <cell r="E276" t="str">
            <v>Non-Prime</v>
          </cell>
          <cell r="F276" t="str">
            <v>Non-Prime</v>
          </cell>
          <cell r="G276" t="str">
            <v>Non-Prime</v>
          </cell>
          <cell r="H276" t="str">
            <v>Non-Prime</v>
          </cell>
          <cell r="I276" t="str">
            <v>Non-Prime</v>
          </cell>
          <cell r="J276" t="str">
            <v>Non-Prime</v>
          </cell>
          <cell r="K276" t="str">
            <v>Non-Prime</v>
          </cell>
          <cell r="L276" t="str">
            <v>Non-Prime</v>
          </cell>
          <cell r="M276" t="str">
            <v>Non-Prime</v>
          </cell>
          <cell r="N276" t="str">
            <v>Non-Prime</v>
          </cell>
          <cell r="O276" t="str">
            <v>Non-Prime</v>
          </cell>
          <cell r="P276" t="str">
            <v>Non-Prime</v>
          </cell>
          <cell r="Q276" t="str">
            <v>Non-Prime</v>
          </cell>
          <cell r="R276" t="str">
            <v>Non-Prime</v>
          </cell>
          <cell r="S276" t="str">
            <v>Non-Prime</v>
          </cell>
          <cell r="T276" t="str">
            <v>Non-Prime</v>
          </cell>
          <cell r="U276" t="str">
            <v>Prime</v>
          </cell>
          <cell r="V276" t="str">
            <v>Prime</v>
          </cell>
          <cell r="W276" t="str">
            <v>Prime</v>
          </cell>
          <cell r="X276" t="str">
            <v>Prime</v>
          </cell>
          <cell r="Y276" t="str">
            <v>Prime</v>
          </cell>
          <cell r="Z276" t="str">
            <v>Non-Prime</v>
          </cell>
          <cell r="AA276" t="str">
            <v>Non-Prime</v>
          </cell>
          <cell r="AB276" t="str">
            <v>Non-Prime</v>
          </cell>
          <cell r="AC276" t="str">
            <v>Non-Prime</v>
          </cell>
          <cell r="AD276" t="str">
            <v>Non-Prime</v>
          </cell>
          <cell r="AE276" t="str">
            <v>Non-Prime</v>
          </cell>
          <cell r="AF276" t="str">
            <v>Non-Prime</v>
          </cell>
        </row>
        <row r="277">
          <cell r="A277" t="str">
            <v>Uruguay</v>
          </cell>
          <cell r="B277" t="str">
            <v>Non-Prime</v>
          </cell>
          <cell r="C277" t="str">
            <v>Non-Prime</v>
          </cell>
          <cell r="D277" t="str">
            <v>Non-Prime</v>
          </cell>
          <cell r="E277" t="str">
            <v>Non-Prime</v>
          </cell>
          <cell r="F277" t="str">
            <v>Non-Prime</v>
          </cell>
          <cell r="G277" t="str">
            <v>Non-Prime</v>
          </cell>
          <cell r="H277" t="str">
            <v>Non-Prime</v>
          </cell>
          <cell r="I277" t="str">
            <v>Non-Prime</v>
          </cell>
          <cell r="J277" t="str">
            <v>Non-Prime</v>
          </cell>
          <cell r="K277" t="str">
            <v>Non-Prime</v>
          </cell>
          <cell r="L277" t="str">
            <v>Non-Prime</v>
          </cell>
          <cell r="M277" t="str">
            <v>Non-Prime</v>
          </cell>
          <cell r="N277" t="str">
            <v>Non-Prime</v>
          </cell>
          <cell r="O277" t="str">
            <v>Non-Prime</v>
          </cell>
          <cell r="P277" t="str">
            <v>Non-Prime</v>
          </cell>
          <cell r="Q277" t="str">
            <v>Non-Prime</v>
          </cell>
          <cell r="R277" t="str">
            <v>Non-Prime</v>
          </cell>
          <cell r="S277" t="str">
            <v>Non-Prime</v>
          </cell>
          <cell r="T277" t="str">
            <v>Prime</v>
          </cell>
          <cell r="U277" t="str">
            <v>Prime</v>
          </cell>
          <cell r="V277" t="str">
            <v>Prime</v>
          </cell>
          <cell r="W277" t="str">
            <v>Prime</v>
          </cell>
          <cell r="X277" t="str">
            <v>Prime</v>
          </cell>
          <cell r="Y277" t="str">
            <v>Prime</v>
          </cell>
          <cell r="Z277" t="str">
            <v>Non-Prime</v>
          </cell>
          <cell r="AA277" t="str">
            <v>Non-Prime</v>
          </cell>
          <cell r="AB277" t="str">
            <v>Non-Prime</v>
          </cell>
          <cell r="AC277" t="str">
            <v>Non-Prime</v>
          </cell>
          <cell r="AD277" t="str">
            <v>Non-Prime</v>
          </cell>
          <cell r="AE277" t="str">
            <v>Non-Prime</v>
          </cell>
          <cell r="AF277" t="str">
            <v>Non-Prime</v>
          </cell>
        </row>
        <row r="278">
          <cell r="A278" t="str">
            <v>USA</v>
          </cell>
          <cell r="B278" t="str">
            <v>Non-Prime</v>
          </cell>
          <cell r="C278" t="str">
            <v>Non-Prime</v>
          </cell>
          <cell r="D278" t="str">
            <v>Non-Prime</v>
          </cell>
          <cell r="E278" t="str">
            <v>Non-Prime</v>
          </cell>
          <cell r="F278" t="str">
            <v>Non-Prime</v>
          </cell>
          <cell r="G278" t="str">
            <v>Non-Prime</v>
          </cell>
          <cell r="H278" t="str">
            <v>Non-Prime</v>
          </cell>
          <cell r="I278" t="str">
            <v>Non-Prime</v>
          </cell>
          <cell r="J278" t="str">
            <v>Non-Prime</v>
          </cell>
          <cell r="K278" t="str">
            <v>Non-Prime</v>
          </cell>
          <cell r="L278" t="str">
            <v>Non-Prime</v>
          </cell>
          <cell r="M278" t="str">
            <v>Non-Prime</v>
          </cell>
          <cell r="N278" t="str">
            <v>Non-Prime</v>
          </cell>
          <cell r="O278" t="str">
            <v>Non-Prime</v>
          </cell>
          <cell r="P278" t="str">
            <v>Non-Prime</v>
          </cell>
          <cell r="Q278" t="str">
            <v>Non-Prime</v>
          </cell>
          <cell r="R278" t="str">
            <v>Non-Prime</v>
          </cell>
          <cell r="S278" t="str">
            <v>Non-Prime</v>
          </cell>
          <cell r="T278" t="str">
            <v>Non-Prime</v>
          </cell>
          <cell r="U278" t="str">
            <v>Prime</v>
          </cell>
          <cell r="V278" t="str">
            <v>Prime</v>
          </cell>
          <cell r="W278" t="str">
            <v>Prime</v>
          </cell>
          <cell r="X278" t="str">
            <v>Prime</v>
          </cell>
          <cell r="Y278" t="str">
            <v>Prime</v>
          </cell>
          <cell r="Z278" t="str">
            <v>Non-Prime</v>
          </cell>
          <cell r="AA278" t="str">
            <v>Non-Prime</v>
          </cell>
          <cell r="AB278" t="str">
            <v>Non-Prime</v>
          </cell>
          <cell r="AC278" t="str">
            <v>Non-Prime</v>
          </cell>
          <cell r="AD278" t="str">
            <v>Non-Prime</v>
          </cell>
          <cell r="AE278" t="str">
            <v>Non-Prime</v>
          </cell>
          <cell r="AF278" t="str">
            <v>Non-Prime</v>
          </cell>
        </row>
        <row r="279">
          <cell r="A279" t="str">
            <v>Uzbekistan</v>
          </cell>
          <cell r="B279" t="str">
            <v>Non-Prime</v>
          </cell>
          <cell r="C279" t="str">
            <v>Non-Prime</v>
          </cell>
          <cell r="D279" t="str">
            <v>Non-Prime</v>
          </cell>
          <cell r="E279" t="str">
            <v>Non-Prime</v>
          </cell>
          <cell r="F279" t="str">
            <v>Non-Prime</v>
          </cell>
          <cell r="G279" t="str">
            <v>Non-Prime</v>
          </cell>
          <cell r="H279" t="str">
            <v>Non-Prime</v>
          </cell>
          <cell r="I279" t="str">
            <v>Non-Prime</v>
          </cell>
          <cell r="J279" t="str">
            <v>Non-Prime</v>
          </cell>
          <cell r="K279" t="str">
            <v>Non-Prime</v>
          </cell>
          <cell r="L279" t="str">
            <v>Non-Prime</v>
          </cell>
          <cell r="M279" t="str">
            <v>Non-Prime</v>
          </cell>
          <cell r="N279" t="str">
            <v>Non-Prime</v>
          </cell>
          <cell r="O279" t="str">
            <v>Non-Prime</v>
          </cell>
          <cell r="P279" t="str">
            <v>Non-Prime</v>
          </cell>
          <cell r="Q279" t="str">
            <v>Non-Prime</v>
          </cell>
          <cell r="R279" t="str">
            <v>Non-Prime</v>
          </cell>
          <cell r="S279" t="str">
            <v>Non-Prime</v>
          </cell>
          <cell r="T279" t="str">
            <v>Non-Prime</v>
          </cell>
          <cell r="U279" t="str">
            <v>Prime</v>
          </cell>
          <cell r="V279" t="str">
            <v>Prime</v>
          </cell>
          <cell r="W279" t="str">
            <v>Prime</v>
          </cell>
          <cell r="X279" t="str">
            <v>Prime</v>
          </cell>
          <cell r="Y279" t="str">
            <v>Non-Prime</v>
          </cell>
          <cell r="Z279" t="str">
            <v>Non-Prime</v>
          </cell>
          <cell r="AA279" t="str">
            <v>Non-Prime</v>
          </cell>
          <cell r="AB279" t="str">
            <v>Non-Prime</v>
          </cell>
          <cell r="AC279" t="str">
            <v>Non-Prime</v>
          </cell>
          <cell r="AD279" t="str">
            <v>Non-Prime</v>
          </cell>
          <cell r="AE279" t="str">
            <v>Non-Prime</v>
          </cell>
          <cell r="AF279" t="str">
            <v>Non-Prime</v>
          </cell>
        </row>
        <row r="280">
          <cell r="A280" t="str">
            <v>Vanuatu</v>
          </cell>
          <cell r="B280" t="str">
            <v>Non-Prime</v>
          </cell>
          <cell r="C280" t="str">
            <v>Non-Prime</v>
          </cell>
          <cell r="D280" t="str">
            <v>Non-Prime</v>
          </cell>
          <cell r="E280" t="str">
            <v>Non-Prime</v>
          </cell>
          <cell r="F280" t="str">
            <v>Non-Prime</v>
          </cell>
          <cell r="G280" t="str">
            <v>Non-Prime</v>
          </cell>
          <cell r="H280" t="str">
            <v>Non-Prime</v>
          </cell>
          <cell r="I280" t="str">
            <v>Non-Prime</v>
          </cell>
          <cell r="J280" t="str">
            <v>Non-Prime</v>
          </cell>
          <cell r="K280" t="str">
            <v>Non-Prime</v>
          </cell>
          <cell r="L280" t="str">
            <v>Non-Prime</v>
          </cell>
          <cell r="M280" t="str">
            <v>Non-Prime</v>
          </cell>
          <cell r="N280" t="str">
            <v>Non-Prime</v>
          </cell>
          <cell r="O280" t="str">
            <v>Non-Prime</v>
          </cell>
          <cell r="P280" t="str">
            <v>Non-Prime</v>
          </cell>
          <cell r="Q280" t="str">
            <v>Non-Prime</v>
          </cell>
          <cell r="R280" t="str">
            <v>Non-Prime</v>
          </cell>
          <cell r="S280" t="str">
            <v>Non-Prime</v>
          </cell>
          <cell r="T280" t="str">
            <v>Prime</v>
          </cell>
          <cell r="U280" t="str">
            <v>Prime</v>
          </cell>
          <cell r="V280" t="str">
            <v>Prime</v>
          </cell>
          <cell r="W280" t="str">
            <v>Prime</v>
          </cell>
          <cell r="X280" t="str">
            <v>Prime</v>
          </cell>
          <cell r="Y280" t="str">
            <v>Prime</v>
          </cell>
          <cell r="Z280" t="str">
            <v>Non-Prime</v>
          </cell>
          <cell r="AA280" t="str">
            <v>Non-Prime</v>
          </cell>
          <cell r="AB280" t="str">
            <v>Non-Prime</v>
          </cell>
          <cell r="AC280" t="str">
            <v>Non-Prime</v>
          </cell>
          <cell r="AD280" t="str">
            <v>Non-Prime</v>
          </cell>
          <cell r="AE280" t="str">
            <v>Non-Prime</v>
          </cell>
          <cell r="AF280" t="str">
            <v>Non-Prime</v>
          </cell>
        </row>
        <row r="281">
          <cell r="A281" t="str">
            <v>Vatican City / Holy See</v>
          </cell>
          <cell r="B281" t="str">
            <v>Non-Prime</v>
          </cell>
          <cell r="C281" t="str">
            <v>Non-Prime</v>
          </cell>
          <cell r="D281" t="str">
            <v>Non-Prime</v>
          </cell>
          <cell r="E281" t="str">
            <v>Non-Prime</v>
          </cell>
          <cell r="F281" t="str">
            <v>Non-Prime</v>
          </cell>
          <cell r="G281" t="str">
            <v>Non-Prime</v>
          </cell>
          <cell r="H281" t="str">
            <v>Non-Prime</v>
          </cell>
          <cell r="I281" t="str">
            <v>Non-Prime</v>
          </cell>
          <cell r="J281" t="str">
            <v>Non-Prime</v>
          </cell>
          <cell r="K281" t="str">
            <v>Non-Prime</v>
          </cell>
          <cell r="L281" t="str">
            <v>Non-Prime</v>
          </cell>
          <cell r="M281" t="str">
            <v>Non-Prime</v>
          </cell>
          <cell r="N281" t="str">
            <v>Non-Prime</v>
          </cell>
          <cell r="O281" t="str">
            <v>Non-Prime</v>
          </cell>
          <cell r="P281" t="str">
            <v>Non-Prime</v>
          </cell>
          <cell r="Q281" t="str">
            <v>Non-Prime</v>
          </cell>
          <cell r="R281" t="str">
            <v>Non-Prime</v>
          </cell>
          <cell r="S281" t="str">
            <v>Non-Prime</v>
          </cell>
          <cell r="T281" t="str">
            <v>Prime</v>
          </cell>
          <cell r="U281" t="str">
            <v>Prime</v>
          </cell>
          <cell r="V281" t="str">
            <v>Prime</v>
          </cell>
          <cell r="W281" t="str">
            <v>Prime</v>
          </cell>
          <cell r="X281" t="str">
            <v>Prime</v>
          </cell>
          <cell r="Y281" t="str">
            <v>Prime</v>
          </cell>
          <cell r="Z281" t="str">
            <v>Non-Prime</v>
          </cell>
          <cell r="AA281" t="str">
            <v>Non-Prime</v>
          </cell>
          <cell r="AB281" t="str">
            <v>Non-Prime</v>
          </cell>
          <cell r="AC281" t="str">
            <v>Non-Prime</v>
          </cell>
          <cell r="AD281" t="str">
            <v>Non-Prime</v>
          </cell>
          <cell r="AE281" t="str">
            <v>Non-Prime</v>
          </cell>
          <cell r="AF281" t="str">
            <v>Non-Prime</v>
          </cell>
        </row>
        <row r="282">
          <cell r="A282" t="str">
            <v>Venezuela</v>
          </cell>
          <cell r="B282" t="str">
            <v>Non-Prime</v>
          </cell>
          <cell r="C282" t="str">
            <v>Non-Prime</v>
          </cell>
          <cell r="D282" t="str">
            <v>Non-Prime</v>
          </cell>
          <cell r="E282" t="str">
            <v>Non-Prime</v>
          </cell>
          <cell r="F282" t="str">
            <v>Non-Prime</v>
          </cell>
          <cell r="G282" t="str">
            <v>Non-Prime</v>
          </cell>
          <cell r="H282" t="str">
            <v>Non-Prime</v>
          </cell>
          <cell r="I282" t="str">
            <v>Non-Prime</v>
          </cell>
          <cell r="J282" t="str">
            <v>Non-Prime</v>
          </cell>
          <cell r="K282" t="str">
            <v>Non-Prime</v>
          </cell>
          <cell r="L282" t="str">
            <v>Non-Prime</v>
          </cell>
          <cell r="M282" t="str">
            <v>Non-Prime</v>
          </cell>
          <cell r="N282" t="str">
            <v>Non-Prime</v>
          </cell>
          <cell r="O282" t="str">
            <v>Non-Prime</v>
          </cell>
          <cell r="P282" t="str">
            <v>Non-Prime</v>
          </cell>
          <cell r="Q282" t="str">
            <v>Non-Prime</v>
          </cell>
          <cell r="R282" t="str">
            <v>Non-Prime</v>
          </cell>
          <cell r="S282" t="str">
            <v>Non-Prime</v>
          </cell>
          <cell r="T282" t="str">
            <v>Prime</v>
          </cell>
          <cell r="U282" t="str">
            <v>Prime</v>
          </cell>
          <cell r="V282" t="str">
            <v>Prime</v>
          </cell>
          <cell r="W282" t="str">
            <v>Prime</v>
          </cell>
          <cell r="X282" t="str">
            <v>Prime</v>
          </cell>
          <cell r="Y282" t="str">
            <v>Prime</v>
          </cell>
          <cell r="Z282" t="str">
            <v>Non-Prime</v>
          </cell>
          <cell r="AA282" t="str">
            <v>Non-Prime</v>
          </cell>
          <cell r="AB282" t="str">
            <v>Non-Prime</v>
          </cell>
          <cell r="AC282" t="str">
            <v>Non-Prime</v>
          </cell>
          <cell r="AD282" t="str">
            <v>Non-Prime</v>
          </cell>
          <cell r="AE282" t="str">
            <v>Non-Prime</v>
          </cell>
          <cell r="AF282" t="str">
            <v>Non-Prime</v>
          </cell>
        </row>
        <row r="283">
          <cell r="A283" t="str">
            <v>Vietnam</v>
          </cell>
          <cell r="B283" t="str">
            <v>Non-Prime</v>
          </cell>
          <cell r="C283" t="str">
            <v>Non-Prime</v>
          </cell>
          <cell r="D283" t="str">
            <v>Non-Prime</v>
          </cell>
          <cell r="E283" t="str">
            <v>Non-Prime</v>
          </cell>
          <cell r="F283" t="str">
            <v>Non-Prime</v>
          </cell>
          <cell r="G283" t="str">
            <v>Non-Prime</v>
          </cell>
          <cell r="H283" t="str">
            <v>Non-Prime</v>
          </cell>
          <cell r="I283" t="str">
            <v>Non-Prime</v>
          </cell>
          <cell r="J283" t="str">
            <v>Non-Prime</v>
          </cell>
          <cell r="K283" t="str">
            <v>Non-Prime</v>
          </cell>
          <cell r="L283" t="str">
            <v>Non-Prime</v>
          </cell>
          <cell r="M283" t="str">
            <v>Non-Prime</v>
          </cell>
          <cell r="N283" t="str">
            <v>Non-Prime</v>
          </cell>
          <cell r="O283" t="str">
            <v>Non-Prime</v>
          </cell>
          <cell r="P283" t="str">
            <v>Non-Prime</v>
          </cell>
          <cell r="Q283" t="str">
            <v>Non-Prime</v>
          </cell>
          <cell r="R283" t="str">
            <v>Non-Prime</v>
          </cell>
          <cell r="S283" t="str">
            <v>Non-Prime</v>
          </cell>
          <cell r="T283" t="str">
            <v>Non-Prime</v>
          </cell>
          <cell r="U283" t="str">
            <v>Non-Prime</v>
          </cell>
          <cell r="V283" t="str">
            <v>Prime</v>
          </cell>
          <cell r="W283" t="str">
            <v>Prime</v>
          </cell>
          <cell r="X283" t="str">
            <v>Prime</v>
          </cell>
          <cell r="Y283" t="str">
            <v>Prime</v>
          </cell>
          <cell r="Z283" t="str">
            <v>Non-Prime</v>
          </cell>
          <cell r="AA283" t="str">
            <v>Non-Prime</v>
          </cell>
          <cell r="AB283" t="str">
            <v>Non-Prime</v>
          </cell>
          <cell r="AC283" t="str">
            <v>Non-Prime</v>
          </cell>
          <cell r="AD283" t="str">
            <v>Non-Prime</v>
          </cell>
          <cell r="AE283" t="str">
            <v>Non-Prime</v>
          </cell>
          <cell r="AF283" t="str">
            <v>Non-Prime</v>
          </cell>
        </row>
        <row r="284">
          <cell r="A284" t="str">
            <v>Wallis &amp; Futuna Islands</v>
          </cell>
          <cell r="B284" t="str">
            <v>Non-Prime</v>
          </cell>
          <cell r="C284" t="str">
            <v>Non-Prime</v>
          </cell>
          <cell r="D284" t="str">
            <v>Non-Prime</v>
          </cell>
          <cell r="E284" t="str">
            <v>Non-Prime</v>
          </cell>
          <cell r="F284" t="str">
            <v>Non-Prime</v>
          </cell>
          <cell r="G284" t="str">
            <v>Non-Prime</v>
          </cell>
          <cell r="H284" t="str">
            <v>Non-Prime</v>
          </cell>
          <cell r="I284" t="str">
            <v>Non-Prime</v>
          </cell>
          <cell r="J284" t="str">
            <v>Non-Prime</v>
          </cell>
          <cell r="K284" t="str">
            <v>Non-Prime</v>
          </cell>
          <cell r="L284" t="str">
            <v>Non-Prime</v>
          </cell>
          <cell r="M284" t="str">
            <v>Non-Prime</v>
          </cell>
          <cell r="N284" t="str">
            <v>Non-Prime</v>
          </cell>
          <cell r="O284" t="str">
            <v>Non-Prime</v>
          </cell>
          <cell r="P284" t="str">
            <v>Non-Prime</v>
          </cell>
          <cell r="Q284" t="str">
            <v>Non-Prime</v>
          </cell>
          <cell r="R284" t="str">
            <v>Non-Prime</v>
          </cell>
          <cell r="S284" t="str">
            <v>Non-Prime</v>
          </cell>
          <cell r="T284" t="str">
            <v>Prime</v>
          </cell>
          <cell r="U284" t="str">
            <v>Prime</v>
          </cell>
          <cell r="V284" t="str">
            <v>Prime</v>
          </cell>
          <cell r="W284" t="str">
            <v>Prime</v>
          </cell>
          <cell r="X284" t="str">
            <v>Prime</v>
          </cell>
          <cell r="Y284" t="str">
            <v>Prime</v>
          </cell>
          <cell r="Z284" t="str">
            <v>Non-Prime</v>
          </cell>
          <cell r="AA284" t="str">
            <v>Non-Prime</v>
          </cell>
          <cell r="AB284" t="str">
            <v>Non-Prime</v>
          </cell>
          <cell r="AC284" t="str">
            <v>Non-Prime</v>
          </cell>
          <cell r="AD284" t="str">
            <v>Non-Prime</v>
          </cell>
          <cell r="AE284" t="str">
            <v>Non-Prime</v>
          </cell>
          <cell r="AF284" t="str">
            <v>Non-Prime</v>
          </cell>
        </row>
        <row r="285">
          <cell r="A285" t="str">
            <v>West Bank &amp; Gaza</v>
          </cell>
          <cell r="B285" t="str">
            <v>Non-Prime</v>
          </cell>
          <cell r="C285" t="str">
            <v>Non-Prime</v>
          </cell>
          <cell r="D285" t="str">
            <v>Non-Prime</v>
          </cell>
          <cell r="E285" t="str">
            <v>Non-Prime</v>
          </cell>
          <cell r="F285" t="str">
            <v>Non-Prime</v>
          </cell>
          <cell r="G285" t="str">
            <v>Non-Prime</v>
          </cell>
          <cell r="H285" t="str">
            <v>Non-Prime</v>
          </cell>
          <cell r="I285" t="str">
            <v>Non-Prime</v>
          </cell>
          <cell r="J285" t="str">
            <v>Non-Prime</v>
          </cell>
          <cell r="K285" t="str">
            <v>Non-Prime</v>
          </cell>
          <cell r="L285" t="str">
            <v>Non-Prime</v>
          </cell>
          <cell r="M285" t="str">
            <v>Non-Prime</v>
          </cell>
          <cell r="N285" t="str">
            <v>Non-Prime</v>
          </cell>
          <cell r="O285" t="str">
            <v>Non-Prime</v>
          </cell>
          <cell r="P285" t="str">
            <v>Non-Prime</v>
          </cell>
          <cell r="Q285" t="str">
            <v>Non-Prime</v>
          </cell>
          <cell r="R285" t="str">
            <v>Non-Prime</v>
          </cell>
          <cell r="S285" t="str">
            <v>Non-Prime</v>
          </cell>
          <cell r="T285" t="str">
            <v>Prime</v>
          </cell>
          <cell r="U285" t="str">
            <v>Prime</v>
          </cell>
          <cell r="V285" t="str">
            <v>Prime</v>
          </cell>
          <cell r="W285" t="str">
            <v>Prime</v>
          </cell>
          <cell r="X285" t="str">
            <v>Prime</v>
          </cell>
          <cell r="Y285" t="str">
            <v>Prime</v>
          </cell>
          <cell r="Z285" t="str">
            <v>Non-Prime</v>
          </cell>
          <cell r="AA285" t="str">
            <v>Non-Prime</v>
          </cell>
          <cell r="AB285" t="str">
            <v>Non-Prime</v>
          </cell>
          <cell r="AC285" t="str">
            <v>Non-Prime</v>
          </cell>
          <cell r="AD285" t="str">
            <v>Non-Prime</v>
          </cell>
          <cell r="AE285" t="str">
            <v>Non-Prime</v>
          </cell>
          <cell r="AF285" t="str">
            <v>Non-Prime</v>
          </cell>
        </row>
        <row r="286">
          <cell r="A286" t="str">
            <v>Western Sahara</v>
          </cell>
          <cell r="B286" t="str">
            <v>Non-Prime</v>
          </cell>
          <cell r="C286" t="str">
            <v>Non-Prime</v>
          </cell>
          <cell r="D286" t="str">
            <v>Non-Prime</v>
          </cell>
          <cell r="E286" t="str">
            <v>Non-Prime</v>
          </cell>
          <cell r="F286" t="str">
            <v>Non-Prime</v>
          </cell>
          <cell r="G286" t="str">
            <v>Non-Prime</v>
          </cell>
          <cell r="H286" t="str">
            <v>Non-Prime</v>
          </cell>
          <cell r="I286" t="str">
            <v>Non-Prime</v>
          </cell>
          <cell r="J286" t="str">
            <v>Non-Prime</v>
          </cell>
          <cell r="K286" t="str">
            <v>Non-Prime</v>
          </cell>
          <cell r="L286" t="str">
            <v>Non-Prime</v>
          </cell>
          <cell r="M286" t="str">
            <v>Non-Prime</v>
          </cell>
          <cell r="N286" t="str">
            <v>Non-Prime</v>
          </cell>
          <cell r="O286" t="str">
            <v>Non-Prime</v>
          </cell>
          <cell r="P286" t="str">
            <v>Non-Prime</v>
          </cell>
          <cell r="Q286" t="str">
            <v>Non-Prime</v>
          </cell>
          <cell r="R286" t="str">
            <v>Non-Prime</v>
          </cell>
          <cell r="S286" t="str">
            <v>Non-Prime</v>
          </cell>
          <cell r="T286" t="str">
            <v>Prime</v>
          </cell>
          <cell r="U286" t="str">
            <v>Prime</v>
          </cell>
          <cell r="V286" t="str">
            <v>Prime</v>
          </cell>
          <cell r="W286" t="str">
            <v>Prime</v>
          </cell>
          <cell r="X286" t="str">
            <v>Prime</v>
          </cell>
          <cell r="Y286" t="str">
            <v>Prime</v>
          </cell>
          <cell r="Z286" t="str">
            <v>Non-Prime</v>
          </cell>
          <cell r="AA286" t="str">
            <v>Non-Prime</v>
          </cell>
          <cell r="AB286" t="str">
            <v>Non-Prime</v>
          </cell>
          <cell r="AC286" t="str">
            <v>Non-Prime</v>
          </cell>
          <cell r="AD286" t="str">
            <v>Non-Prime</v>
          </cell>
          <cell r="AE286" t="str">
            <v>Non-Prime</v>
          </cell>
          <cell r="AF286" t="str">
            <v>Non-Prime</v>
          </cell>
        </row>
        <row r="287">
          <cell r="A287" t="str">
            <v>Yemen</v>
          </cell>
          <cell r="B287" t="str">
            <v>Non-Prime</v>
          </cell>
          <cell r="C287" t="str">
            <v>Non-Prime</v>
          </cell>
          <cell r="D287" t="str">
            <v>Non-Prime</v>
          </cell>
          <cell r="E287" t="str">
            <v>Non-Prime</v>
          </cell>
          <cell r="F287" t="str">
            <v>Non-Prime</v>
          </cell>
          <cell r="G287" t="str">
            <v>Non-Prime</v>
          </cell>
          <cell r="H287" t="str">
            <v>Non-Prime</v>
          </cell>
          <cell r="I287" t="str">
            <v>Non-Prime</v>
          </cell>
          <cell r="J287" t="str">
            <v>Non-Prime</v>
          </cell>
          <cell r="K287" t="str">
            <v>Non-Prime</v>
          </cell>
          <cell r="L287" t="str">
            <v>Non-Prime</v>
          </cell>
          <cell r="M287" t="str">
            <v>Non-Prime</v>
          </cell>
          <cell r="N287" t="str">
            <v>Non-Prime</v>
          </cell>
          <cell r="O287" t="str">
            <v>Non-Prime</v>
          </cell>
          <cell r="P287" t="str">
            <v>Non-Prime</v>
          </cell>
          <cell r="Q287" t="str">
            <v>Non-Prime</v>
          </cell>
          <cell r="R287" t="str">
            <v>Non-Prime</v>
          </cell>
          <cell r="S287" t="str">
            <v>Non-Prime</v>
          </cell>
          <cell r="T287" t="str">
            <v>Prime</v>
          </cell>
          <cell r="U287" t="str">
            <v>Prime</v>
          </cell>
          <cell r="V287" t="str">
            <v>Prime</v>
          </cell>
          <cell r="W287" t="str">
            <v>Prime</v>
          </cell>
          <cell r="X287" t="str">
            <v>Prime</v>
          </cell>
          <cell r="Y287" t="str">
            <v>Prime</v>
          </cell>
          <cell r="Z287" t="str">
            <v>Non-Prime</v>
          </cell>
          <cell r="AA287" t="str">
            <v>Non-Prime</v>
          </cell>
          <cell r="AB287" t="str">
            <v>Non-Prime</v>
          </cell>
          <cell r="AC287" t="str">
            <v>Non-Prime</v>
          </cell>
          <cell r="AD287" t="str">
            <v>Non-Prime</v>
          </cell>
          <cell r="AE287" t="str">
            <v>Non-Prime</v>
          </cell>
          <cell r="AF287" t="str">
            <v>Non-Prime</v>
          </cell>
        </row>
        <row r="288">
          <cell r="A288" t="str">
            <v>Zambia</v>
          </cell>
          <cell r="B288" t="str">
            <v>Non-Prime</v>
          </cell>
          <cell r="C288" t="str">
            <v>Non-Prime</v>
          </cell>
          <cell r="D288" t="str">
            <v>Non-Prime</v>
          </cell>
          <cell r="E288" t="str">
            <v>Non-Prime</v>
          </cell>
          <cell r="F288" t="str">
            <v>Non-Prime</v>
          </cell>
          <cell r="G288" t="str">
            <v>Non-Prime</v>
          </cell>
          <cell r="H288" t="str">
            <v>Non-Prime</v>
          </cell>
          <cell r="I288" t="str">
            <v>Non-Prime</v>
          </cell>
          <cell r="J288" t="str">
            <v>Non-Prime</v>
          </cell>
          <cell r="K288" t="str">
            <v>Non-Prime</v>
          </cell>
          <cell r="L288" t="str">
            <v>Non-Prime</v>
          </cell>
          <cell r="M288" t="str">
            <v>Non-Prime</v>
          </cell>
          <cell r="N288" t="str">
            <v>Non-Prime</v>
          </cell>
          <cell r="O288" t="str">
            <v>Non-Prime</v>
          </cell>
          <cell r="P288" t="str">
            <v>Non-Prime</v>
          </cell>
          <cell r="Q288" t="str">
            <v>Non-Prime</v>
          </cell>
          <cell r="R288" t="str">
            <v>Non-Prime</v>
          </cell>
          <cell r="S288" t="str">
            <v>Non-Prime</v>
          </cell>
          <cell r="T288" t="str">
            <v>Prime</v>
          </cell>
          <cell r="U288" t="str">
            <v>Prime</v>
          </cell>
          <cell r="V288" t="str">
            <v>Prime</v>
          </cell>
          <cell r="W288" t="str">
            <v>Prime</v>
          </cell>
          <cell r="X288" t="str">
            <v>Prime</v>
          </cell>
          <cell r="Y288" t="str">
            <v>Prime</v>
          </cell>
          <cell r="Z288" t="str">
            <v>Non-Prime</v>
          </cell>
          <cell r="AA288" t="str">
            <v>Non-Prime</v>
          </cell>
          <cell r="AB288" t="str">
            <v>Non-Prime</v>
          </cell>
          <cell r="AC288" t="str">
            <v>Non-Prime</v>
          </cell>
          <cell r="AD288" t="str">
            <v>Non-Prime</v>
          </cell>
          <cell r="AE288" t="str">
            <v>Non-Prime</v>
          </cell>
          <cell r="AF288" t="str">
            <v>Non-Prime</v>
          </cell>
        </row>
        <row r="289">
          <cell r="A289" t="str">
            <v>Zimbabwe</v>
          </cell>
          <cell r="B289" t="str">
            <v>Non-Prime</v>
          </cell>
          <cell r="C289" t="str">
            <v>Non-Prime</v>
          </cell>
          <cell r="D289" t="str">
            <v>Non-Prime</v>
          </cell>
          <cell r="E289" t="str">
            <v>Non-Prime</v>
          </cell>
          <cell r="F289" t="str">
            <v>Non-Prime</v>
          </cell>
          <cell r="G289" t="str">
            <v>Non-Prime</v>
          </cell>
          <cell r="H289" t="str">
            <v>Non-Prime</v>
          </cell>
          <cell r="I289" t="str">
            <v>Non-Prime</v>
          </cell>
          <cell r="J289" t="str">
            <v>Non-Prime</v>
          </cell>
          <cell r="K289" t="str">
            <v>Non-Prime</v>
          </cell>
          <cell r="L289" t="str">
            <v>Non-Prime</v>
          </cell>
          <cell r="M289" t="str">
            <v>Non-Prime</v>
          </cell>
          <cell r="N289" t="str">
            <v>Non-Prime</v>
          </cell>
          <cell r="O289" t="str">
            <v>Non-Prime</v>
          </cell>
          <cell r="P289" t="str">
            <v>Non-Prime</v>
          </cell>
          <cell r="Q289" t="str">
            <v>Non-Prime</v>
          </cell>
          <cell r="R289" t="str">
            <v>Non-Prime</v>
          </cell>
          <cell r="S289" t="str">
            <v>Non-Prime</v>
          </cell>
          <cell r="T289" t="str">
            <v>Prime</v>
          </cell>
          <cell r="U289" t="str">
            <v>Prime</v>
          </cell>
          <cell r="V289" t="str">
            <v>Prime</v>
          </cell>
          <cell r="W289" t="str">
            <v>Prime</v>
          </cell>
          <cell r="X289" t="str">
            <v>Prime</v>
          </cell>
          <cell r="Y289" t="str">
            <v>Prime</v>
          </cell>
          <cell r="Z289" t="str">
            <v>Non-Prime</v>
          </cell>
          <cell r="AA289" t="str">
            <v>Non-Prime</v>
          </cell>
          <cell r="AB289" t="str">
            <v>Non-Prime</v>
          </cell>
          <cell r="AC289" t="str">
            <v>Non-Prime</v>
          </cell>
          <cell r="AD289" t="str">
            <v>Non-Prime</v>
          </cell>
          <cell r="AE289" t="str">
            <v>Non-Prime</v>
          </cell>
          <cell r="AF289" t="str">
            <v>Non-Prime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ONLINE"/>
      <sheetName val="Information_PRINT"/>
      <sheetName val="Information_ONLINE"/>
      <sheetName val="Kommentar"/>
      <sheetName val="Data"/>
      <sheetName val="Einträge"/>
    </sheetNames>
    <sheetDataSet>
      <sheetData sheetId="0">
        <row r="5">
          <cell r="H5" t="str">
            <v>A</v>
          </cell>
        </row>
        <row r="6">
          <cell r="H6" t="str">
            <v>B</v>
          </cell>
        </row>
        <row r="7">
          <cell r="H7" t="str">
            <v>C</v>
          </cell>
        </row>
        <row r="8">
          <cell r="H8" t="str">
            <v>D</v>
          </cell>
        </row>
      </sheetData>
      <sheetData sheetId="1"/>
      <sheetData sheetId="2">
        <row r="3">
          <cell r="I3" t="str">
            <v>Argus</v>
          </cell>
        </row>
      </sheetData>
      <sheetData sheetId="3"/>
      <sheetData sheetId="4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s"/>
      <sheetName val="Structure for BSA"/>
      <sheetName val="Country Table Rates"/>
      <sheetName val="dedicated"/>
      <sheetName val="HidingColumns"/>
      <sheetName val="Fixtures"/>
      <sheetName val="Weightings"/>
      <sheetName val="Sport Weighting"/>
      <sheetName val="Audience Weighting"/>
      <sheetName val="Exchange Rates"/>
      <sheetName val="Dayparts"/>
      <sheetName val="ForRebuildingTable"/>
      <sheetName val="Calendar &amp; Data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No</v>
          </cell>
        </row>
        <row r="2">
          <cell r="C2" t="str">
            <v>No</v>
          </cell>
        </row>
      </sheetData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25"/>
  <sheetViews>
    <sheetView tabSelected="1" zoomScale="97" workbookViewId="0">
      <pane ySplit="6" topLeftCell="A7" activePane="bottomLeft" state="frozen"/>
      <selection pane="bottomLeft" activeCell="G15" sqref="G15"/>
    </sheetView>
  </sheetViews>
  <sheetFormatPr defaultColWidth="14.453125" defaultRowHeight="15" customHeight="1" x14ac:dyDescent="0.35"/>
  <cols>
    <col min="1" max="1" width="18.54296875" bestFit="1" customWidth="1"/>
    <col min="2" max="2" width="13" bestFit="1" customWidth="1"/>
    <col min="3" max="3" width="12.1796875" bestFit="1" customWidth="1"/>
    <col min="4" max="4" width="16.1796875" bestFit="1" customWidth="1"/>
    <col min="5" max="5" width="20.81640625" bestFit="1" customWidth="1"/>
    <col min="6" max="6" width="13.36328125" bestFit="1" customWidth="1"/>
    <col min="7" max="7" width="14.1796875" bestFit="1" customWidth="1"/>
    <col min="8" max="8" width="17" bestFit="1" customWidth="1"/>
    <col min="9" max="9" width="8.81640625" bestFit="1" customWidth="1"/>
    <col min="10" max="10" width="8.36328125" bestFit="1" customWidth="1"/>
    <col min="11" max="11" width="13.36328125" bestFit="1" customWidth="1"/>
    <col min="12" max="12" width="12.90625" bestFit="1" customWidth="1"/>
    <col min="13" max="13" width="8.90625" bestFit="1" customWidth="1"/>
    <col min="14" max="14" width="8.453125" bestFit="1" customWidth="1"/>
    <col min="15" max="15" width="11.7265625" bestFit="1" customWidth="1"/>
    <col min="16" max="16" width="1.90625" customWidth="1"/>
    <col min="17" max="17" width="1.453125" customWidth="1"/>
    <col min="18" max="18" width="91.36328125" customWidth="1"/>
    <col min="19" max="19" width="17.36328125" bestFit="1" customWidth="1"/>
    <col min="20" max="20" width="26" bestFit="1" customWidth="1"/>
    <col min="21" max="21" width="14.26953125" bestFit="1" customWidth="1"/>
    <col min="22" max="22" width="12.453125" bestFit="1" customWidth="1"/>
    <col min="23" max="23" width="27.81640625" bestFit="1" customWidth="1"/>
    <col min="24" max="24" width="14.08984375" bestFit="1" customWidth="1"/>
    <col min="25" max="25" width="7.36328125" bestFit="1" customWidth="1"/>
    <col min="26" max="26" width="13.81640625" bestFit="1" customWidth="1"/>
    <col min="27" max="27" width="10.81640625" bestFit="1" customWidth="1"/>
    <col min="28" max="28" width="10.08984375" bestFit="1" customWidth="1"/>
    <col min="29" max="29" width="21.36328125" bestFit="1" customWidth="1"/>
    <col min="30" max="30" width="12.1796875" bestFit="1" customWidth="1"/>
    <col min="31" max="31" width="21.36328125" bestFit="1" customWidth="1"/>
    <col min="32" max="32" width="13.26953125" bestFit="1" customWidth="1"/>
    <col min="33" max="33" width="13" bestFit="1" customWidth="1"/>
    <col min="34" max="34" width="22.26953125" bestFit="1" customWidth="1"/>
    <col min="35" max="35" width="14.1796875" bestFit="1" customWidth="1"/>
    <col min="36" max="36" width="14.6328125" bestFit="1" customWidth="1"/>
    <col min="37" max="37" width="24.81640625" bestFit="1" customWidth="1"/>
    <col min="38" max="38" width="24" bestFit="1" customWidth="1"/>
    <col min="39" max="39" width="16.81640625" bestFit="1" customWidth="1"/>
    <col min="40" max="40" width="18.81640625" bestFit="1" customWidth="1"/>
    <col min="41" max="41" width="33.90625" bestFit="1" customWidth="1"/>
    <col min="42" max="53" width="1.26953125" customWidth="1"/>
  </cols>
  <sheetData>
    <row r="1" spans="1:41" ht="14.5" x14ac:dyDescent="0.35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2" customHeight="1" x14ac:dyDescent="0.35">
      <c r="A2" s="2"/>
      <c r="C2" s="1"/>
      <c r="D2" s="1"/>
      <c r="E2" s="3"/>
      <c r="F2" s="1"/>
      <c r="G2" s="1"/>
      <c r="H2" s="3"/>
      <c r="I2" s="3"/>
      <c r="J2" s="4"/>
      <c r="K2" s="4"/>
      <c r="L2" s="4"/>
      <c r="M2" s="4"/>
      <c r="N2" s="4"/>
      <c r="O2" s="4"/>
      <c r="P2" s="1"/>
      <c r="Q2" s="4"/>
      <c r="R2" s="4"/>
      <c r="S2" s="1"/>
      <c r="T2" s="1"/>
      <c r="U2" s="1"/>
      <c r="V2" s="1"/>
      <c r="W2" s="1"/>
      <c r="X2" s="1"/>
      <c r="Y2" s="1"/>
      <c r="Z2" s="1"/>
      <c r="AA2" s="1"/>
      <c r="AB2" s="5"/>
      <c r="AC2" s="6"/>
      <c r="AD2" s="6"/>
      <c r="AE2" s="6"/>
      <c r="AF2" s="6"/>
      <c r="AG2" s="6"/>
      <c r="AH2" s="6"/>
      <c r="AI2" s="6"/>
      <c r="AJ2" s="1"/>
      <c r="AK2" s="1"/>
      <c r="AL2" s="1"/>
      <c r="AM2" s="1"/>
      <c r="AN2" s="1"/>
      <c r="AO2" s="1"/>
    </row>
    <row r="3" spans="1:41" ht="12" customHeight="1" x14ac:dyDescent="0.35">
      <c r="A3" s="7" t="s">
        <v>379</v>
      </c>
      <c r="B3" s="1"/>
      <c r="C3" s="1"/>
      <c r="D3" s="1"/>
      <c r="E3" s="3"/>
      <c r="F3" s="1"/>
      <c r="G3" s="1"/>
      <c r="H3" s="3"/>
      <c r="I3" s="3"/>
      <c r="J3" s="4"/>
      <c r="K3" s="4"/>
      <c r="L3" s="4"/>
      <c r="M3" s="4"/>
      <c r="N3" s="4"/>
      <c r="O3" s="4"/>
      <c r="P3" s="1"/>
      <c r="Q3" s="4"/>
      <c r="R3" s="4"/>
      <c r="T3" s="1"/>
      <c r="U3" s="1"/>
      <c r="V3" s="1"/>
      <c r="W3" s="1"/>
      <c r="X3" s="1"/>
      <c r="Y3" s="1"/>
      <c r="Z3" s="1"/>
      <c r="AA3" s="1"/>
      <c r="AB3" s="5"/>
      <c r="AC3" s="6"/>
      <c r="AD3" s="6"/>
      <c r="AE3" s="6"/>
      <c r="AF3" s="6"/>
      <c r="AG3" s="6"/>
      <c r="AH3" s="6"/>
      <c r="AI3" s="6"/>
      <c r="AJ3" s="1"/>
      <c r="AK3" s="1"/>
      <c r="AL3" s="1"/>
      <c r="AM3" s="1"/>
      <c r="AN3" s="1"/>
      <c r="AO3" s="1"/>
    </row>
    <row r="4" spans="1:41" ht="12" customHeight="1" x14ac:dyDescent="0.35">
      <c r="A4" s="7" t="s">
        <v>380</v>
      </c>
      <c r="B4" s="1"/>
      <c r="C4" s="1"/>
      <c r="D4" s="1"/>
      <c r="E4" s="3"/>
      <c r="F4" s="1"/>
      <c r="G4" s="1"/>
      <c r="H4" s="3"/>
      <c r="I4" s="3"/>
      <c r="J4" s="8">
        <f>I4</f>
        <v>0</v>
      </c>
      <c r="K4" s="4"/>
      <c r="L4" s="4"/>
      <c r="M4" s="4"/>
      <c r="N4" s="4"/>
      <c r="O4" s="9">
        <f>IF(N4&gt;M4,N4-M4,(N4+1)-M4)</f>
        <v>1</v>
      </c>
      <c r="P4" s="1"/>
      <c r="Q4" s="4"/>
      <c r="R4" s="10" t="str">
        <f>CONCATENATE(P4," ","-"," ",Q4)</f>
        <v xml:space="preserve"> - </v>
      </c>
      <c r="S4" s="1"/>
      <c r="T4" s="11" t="e">
        <f t="array" ref="T4">INDEX(Event,MATCH(W4,Fixture,0))</f>
        <v>#N/A</v>
      </c>
      <c r="U4" s="1"/>
      <c r="V4" s="10" t="e">
        <f t="array" ref="V4">INDEX(Matchday,MATCH(W4,Fixture,0))</f>
        <v>#N/A</v>
      </c>
      <c r="W4" s="12" t="str">
        <f>CONCATENATE(X4," ",Y4," ",Z4)</f>
        <v xml:space="preserve">  </v>
      </c>
      <c r="X4" s="1"/>
      <c r="Y4" s="13" t="str">
        <f>IF(X4="","","vs")</f>
        <v/>
      </c>
      <c r="Z4" s="1"/>
      <c r="AA4" s="1"/>
      <c r="AB4" s="5"/>
      <c r="AC4" s="6"/>
      <c r="AD4" s="6"/>
      <c r="AE4" s="6"/>
      <c r="AF4" s="6"/>
      <c r="AG4" s="6"/>
      <c r="AH4" s="6"/>
      <c r="AI4" s="6"/>
      <c r="AJ4" s="1"/>
      <c r="AK4" s="1"/>
      <c r="AL4" s="1"/>
      <c r="AM4" s="1"/>
      <c r="AN4" s="1"/>
      <c r="AO4" s="1"/>
    </row>
    <row r="5" spans="1:41" ht="12" customHeight="1" x14ac:dyDescent="0.35">
      <c r="A5" s="7" t="s">
        <v>381</v>
      </c>
      <c r="B5" s="1"/>
      <c r="C5" s="1"/>
      <c r="D5" s="1"/>
      <c r="E5" s="3"/>
      <c r="F5" s="1"/>
      <c r="G5" s="1"/>
      <c r="H5" s="3"/>
      <c r="I5" s="3"/>
      <c r="J5" s="4"/>
      <c r="K5" s="4"/>
      <c r="L5" s="4"/>
      <c r="M5" s="4"/>
      <c r="N5" s="4"/>
      <c r="O5" s="4"/>
      <c r="P5" s="1"/>
      <c r="Q5" s="4"/>
      <c r="R5" s="4"/>
      <c r="S5" s="4"/>
      <c r="T5" s="4"/>
      <c r="U5" s="4"/>
      <c r="V5" s="1"/>
      <c r="W5" s="4"/>
      <c r="X5" s="4"/>
      <c r="Y5" s="4"/>
      <c r="Z5" s="4"/>
      <c r="AA5" s="4"/>
      <c r="AB5" s="5"/>
      <c r="AC5" s="6"/>
      <c r="AD5" s="6"/>
      <c r="AE5" s="6"/>
      <c r="AF5" s="6"/>
      <c r="AG5" s="6"/>
      <c r="AH5" s="6"/>
      <c r="AI5" s="6"/>
      <c r="AJ5" s="1"/>
      <c r="AK5" s="1"/>
      <c r="AL5" s="1"/>
      <c r="AM5" s="1"/>
      <c r="AN5" s="1"/>
      <c r="AO5" s="1"/>
    </row>
    <row r="6" spans="1:41" ht="16.5" customHeight="1" x14ac:dyDescent="0.35">
      <c r="A6" s="14" t="s">
        <v>1</v>
      </c>
      <c r="B6" s="14" t="s">
        <v>2</v>
      </c>
      <c r="C6" s="14" t="s">
        <v>3</v>
      </c>
      <c r="D6" s="14" t="s">
        <v>4</v>
      </c>
      <c r="E6" s="14" t="s">
        <v>5</v>
      </c>
      <c r="F6" s="14" t="s">
        <v>6</v>
      </c>
      <c r="G6" s="14" t="s">
        <v>7</v>
      </c>
      <c r="H6" s="14" t="s">
        <v>8</v>
      </c>
      <c r="I6" s="14" t="s">
        <v>9</v>
      </c>
      <c r="J6" s="14" t="s">
        <v>10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18</v>
      </c>
      <c r="S6" s="14" t="s">
        <v>19</v>
      </c>
      <c r="T6" s="14" t="s">
        <v>20</v>
      </c>
      <c r="U6" s="14" t="s">
        <v>21</v>
      </c>
      <c r="V6" s="14" t="s">
        <v>22</v>
      </c>
      <c r="W6" s="14" t="s">
        <v>23</v>
      </c>
      <c r="X6" s="14" t="s">
        <v>24</v>
      </c>
      <c r="Y6" s="14" t="s">
        <v>25</v>
      </c>
      <c r="Z6" s="14" t="s">
        <v>26</v>
      </c>
      <c r="AA6" s="14" t="s">
        <v>27</v>
      </c>
      <c r="AB6" s="14" t="s">
        <v>28</v>
      </c>
      <c r="AC6" s="14" t="s">
        <v>29</v>
      </c>
      <c r="AD6" s="14" t="s">
        <v>30</v>
      </c>
      <c r="AE6" s="14" t="s">
        <v>31</v>
      </c>
      <c r="AF6" s="14" t="s">
        <v>32</v>
      </c>
      <c r="AG6" s="14" t="s">
        <v>33</v>
      </c>
      <c r="AH6" s="14" t="s">
        <v>34</v>
      </c>
      <c r="AI6" s="14" t="s">
        <v>35</v>
      </c>
      <c r="AJ6" s="14" t="s">
        <v>36</v>
      </c>
      <c r="AK6" s="14" t="s">
        <v>37</v>
      </c>
      <c r="AL6" s="14" t="s">
        <v>38</v>
      </c>
      <c r="AM6" s="14" t="s">
        <v>39</v>
      </c>
      <c r="AN6" s="14" t="s">
        <v>40</v>
      </c>
      <c r="AO6" s="14" t="s">
        <v>41</v>
      </c>
    </row>
    <row r="7" spans="1:41" ht="12" customHeight="1" x14ac:dyDescent="0.35">
      <c r="A7" s="29" t="s">
        <v>65</v>
      </c>
      <c r="B7" s="30" t="s">
        <v>327</v>
      </c>
      <c r="C7" s="29">
        <v>60</v>
      </c>
      <c r="D7" s="29" t="s">
        <v>66</v>
      </c>
      <c r="E7" s="31" t="s">
        <v>374</v>
      </c>
      <c r="F7" s="29">
        <v>33612</v>
      </c>
      <c r="G7" s="29"/>
      <c r="H7" s="32">
        <v>46104</v>
      </c>
      <c r="I7" s="33">
        <v>46104</v>
      </c>
      <c r="J7" s="34">
        <v>46104</v>
      </c>
      <c r="K7" s="35">
        <v>0.41658564814814814</v>
      </c>
      <c r="L7" s="35">
        <v>0.4569212962962963</v>
      </c>
      <c r="M7" s="36">
        <v>0.49991898148148151</v>
      </c>
      <c r="N7" s="35">
        <v>0.54025462962962967</v>
      </c>
      <c r="O7" s="37">
        <v>4.0335648148148162E-2</v>
      </c>
      <c r="P7" s="29" t="s">
        <v>223</v>
      </c>
      <c r="Q7" s="29" t="s">
        <v>59</v>
      </c>
      <c r="R7" s="29" t="s">
        <v>223</v>
      </c>
      <c r="S7" s="38" t="s">
        <v>49</v>
      </c>
      <c r="T7" s="39" t="s">
        <v>73</v>
      </c>
      <c r="U7" s="39" t="s">
        <v>59</v>
      </c>
      <c r="V7" s="38" t="s">
        <v>107</v>
      </c>
      <c r="W7" s="40" t="s">
        <v>59</v>
      </c>
      <c r="X7" s="13" t="s">
        <v>59</v>
      </c>
      <c r="Y7" s="13" t="s">
        <v>59</v>
      </c>
      <c r="Z7" s="13" t="s">
        <v>59</v>
      </c>
      <c r="AA7" s="13"/>
      <c r="AB7" s="41"/>
      <c r="AC7" s="16">
        <v>0</v>
      </c>
      <c r="AD7" s="42"/>
      <c r="AE7" s="42"/>
      <c r="AF7" s="42"/>
      <c r="AG7" s="43"/>
      <c r="AH7" s="43"/>
      <c r="AI7" s="43"/>
      <c r="AJ7" s="17"/>
      <c r="AK7" s="17"/>
      <c r="AL7" s="17">
        <v>22.264631043256994</v>
      </c>
      <c r="AM7" s="17"/>
      <c r="AN7" s="17" t="s">
        <v>59</v>
      </c>
      <c r="AO7" s="44" t="s">
        <v>375</v>
      </c>
    </row>
    <row r="8" spans="1:41" ht="12" customHeight="1" x14ac:dyDescent="0.35">
      <c r="A8" s="29" t="s">
        <v>65</v>
      </c>
      <c r="B8" s="30" t="s">
        <v>327</v>
      </c>
      <c r="C8" s="29">
        <v>60</v>
      </c>
      <c r="D8" s="29" t="s">
        <v>66</v>
      </c>
      <c r="E8" s="31" t="s">
        <v>374</v>
      </c>
      <c r="F8" s="29">
        <v>33612</v>
      </c>
      <c r="G8" s="29"/>
      <c r="H8" s="32">
        <v>46105</v>
      </c>
      <c r="I8" s="33">
        <v>46105</v>
      </c>
      <c r="J8" s="34">
        <v>46105</v>
      </c>
      <c r="K8" s="35">
        <v>0.41659722222222223</v>
      </c>
      <c r="L8" s="35">
        <v>0.45424768518518521</v>
      </c>
      <c r="M8" s="36">
        <v>0.49993055555555554</v>
      </c>
      <c r="N8" s="35">
        <v>0.53758101851851847</v>
      </c>
      <c r="O8" s="37">
        <v>3.7650462962962927E-2</v>
      </c>
      <c r="P8" s="29" t="s">
        <v>223</v>
      </c>
      <c r="Q8" s="29" t="s">
        <v>59</v>
      </c>
      <c r="R8" s="29" t="s">
        <v>223</v>
      </c>
      <c r="S8" s="38" t="s">
        <v>49</v>
      </c>
      <c r="T8" s="39" t="s">
        <v>73</v>
      </c>
      <c r="U8" s="39" t="s">
        <v>59</v>
      </c>
      <c r="V8" s="38" t="s">
        <v>107</v>
      </c>
      <c r="W8" s="40" t="s">
        <v>59</v>
      </c>
      <c r="X8" s="13" t="s">
        <v>59</v>
      </c>
      <c r="Y8" s="13" t="s">
        <v>59</v>
      </c>
      <c r="Z8" s="13" t="s">
        <v>59</v>
      </c>
      <c r="AA8" s="13"/>
      <c r="AB8" s="41"/>
      <c r="AC8" s="16">
        <v>0</v>
      </c>
      <c r="AD8" s="42"/>
      <c r="AE8" s="42"/>
      <c r="AF8" s="42"/>
      <c r="AG8" s="43"/>
      <c r="AH8" s="43"/>
      <c r="AI8" s="43"/>
      <c r="AJ8" s="17"/>
      <c r="AK8" s="17"/>
      <c r="AL8" s="17">
        <v>22.264631043256994</v>
      </c>
      <c r="AM8" s="17"/>
      <c r="AN8" s="17" t="s">
        <v>59</v>
      </c>
      <c r="AO8" s="44" t="s">
        <v>375</v>
      </c>
    </row>
    <row r="9" spans="1:41" ht="12" customHeight="1" x14ac:dyDescent="0.35">
      <c r="A9" s="29" t="s">
        <v>65</v>
      </c>
      <c r="B9" s="30" t="s">
        <v>327</v>
      </c>
      <c r="C9" s="29">
        <v>60</v>
      </c>
      <c r="D9" s="29" t="s">
        <v>66</v>
      </c>
      <c r="E9" s="31" t="s">
        <v>376</v>
      </c>
      <c r="F9" s="29">
        <v>33618</v>
      </c>
      <c r="G9" s="29"/>
      <c r="H9" s="32">
        <v>46106</v>
      </c>
      <c r="I9" s="33">
        <v>46106</v>
      </c>
      <c r="J9" s="34">
        <v>46106</v>
      </c>
      <c r="K9" s="35">
        <v>0</v>
      </c>
      <c r="L9" s="35">
        <v>8.3946759259259263E-2</v>
      </c>
      <c r="M9" s="36">
        <v>8.3333333333333329E-2</v>
      </c>
      <c r="N9" s="35">
        <v>0.16728009259259261</v>
      </c>
      <c r="O9" s="37">
        <v>8.3946759259259277E-2</v>
      </c>
      <c r="P9" s="29" t="s">
        <v>225</v>
      </c>
      <c r="Q9" s="29" t="s">
        <v>59</v>
      </c>
      <c r="R9" s="29" t="s">
        <v>225</v>
      </c>
      <c r="S9" s="38" t="s">
        <v>48</v>
      </c>
      <c r="T9" s="39" t="s">
        <v>73</v>
      </c>
      <c r="U9" s="39" t="s">
        <v>59</v>
      </c>
      <c r="V9" s="38" t="s">
        <v>107</v>
      </c>
      <c r="W9" s="40" t="s">
        <v>59</v>
      </c>
      <c r="X9" s="13" t="s">
        <v>59</v>
      </c>
      <c r="Y9" s="13" t="s">
        <v>59</v>
      </c>
      <c r="Z9" s="13" t="s">
        <v>59</v>
      </c>
      <c r="AA9" s="13"/>
      <c r="AB9" s="41"/>
      <c r="AC9" s="16">
        <v>0</v>
      </c>
      <c r="AD9" s="42"/>
      <c r="AE9" s="42"/>
      <c r="AF9" s="42"/>
      <c r="AG9" s="43"/>
      <c r="AH9" s="43"/>
      <c r="AI9" s="43"/>
      <c r="AJ9" s="17"/>
      <c r="AK9" s="17"/>
      <c r="AL9" s="17">
        <v>22.264631043256994</v>
      </c>
      <c r="AM9" s="17"/>
      <c r="AN9" s="17" t="s">
        <v>59</v>
      </c>
      <c r="AO9" s="44" t="s">
        <v>375</v>
      </c>
    </row>
    <row r="10" spans="1:41" ht="12" customHeight="1" x14ac:dyDescent="0.35">
      <c r="A10" s="29" t="s">
        <v>65</v>
      </c>
      <c r="B10" s="30" t="s">
        <v>327</v>
      </c>
      <c r="C10" s="29">
        <v>60</v>
      </c>
      <c r="D10" s="29" t="s">
        <v>66</v>
      </c>
      <c r="E10" s="31" t="s">
        <v>377</v>
      </c>
      <c r="F10" s="29">
        <v>33619</v>
      </c>
      <c r="G10" s="29"/>
      <c r="H10" s="32">
        <v>46104</v>
      </c>
      <c r="I10" s="33">
        <v>46104</v>
      </c>
      <c r="J10" s="34">
        <v>46104</v>
      </c>
      <c r="K10" s="35">
        <v>0</v>
      </c>
      <c r="L10" s="35">
        <v>3.9884259259259258E-2</v>
      </c>
      <c r="M10" s="36">
        <v>8.3333333333333329E-2</v>
      </c>
      <c r="N10" s="35">
        <v>0.12321759259259259</v>
      </c>
      <c r="O10" s="37">
        <v>3.9884259259259258E-2</v>
      </c>
      <c r="P10" s="29" t="s">
        <v>225</v>
      </c>
      <c r="Q10" s="29" t="s">
        <v>59</v>
      </c>
      <c r="R10" s="29" t="s">
        <v>225</v>
      </c>
      <c r="S10" s="38" t="s">
        <v>49</v>
      </c>
      <c r="T10" s="39" t="s">
        <v>73</v>
      </c>
      <c r="U10" s="39" t="s">
        <v>59</v>
      </c>
      <c r="V10" s="38" t="s">
        <v>107</v>
      </c>
      <c r="W10" s="40" t="s">
        <v>59</v>
      </c>
      <c r="X10" s="13" t="s">
        <v>59</v>
      </c>
      <c r="Y10" s="13" t="s">
        <v>59</v>
      </c>
      <c r="Z10" s="13" t="s">
        <v>59</v>
      </c>
      <c r="AA10" s="13"/>
      <c r="AB10" s="41"/>
      <c r="AC10" s="16">
        <v>0</v>
      </c>
      <c r="AD10" s="42"/>
      <c r="AE10" s="42"/>
      <c r="AF10" s="42"/>
      <c r="AG10" s="43"/>
      <c r="AH10" s="43"/>
      <c r="AI10" s="43"/>
      <c r="AJ10" s="17"/>
      <c r="AK10" s="17"/>
      <c r="AL10" s="17">
        <v>22.264631043256994</v>
      </c>
      <c r="AM10" s="17"/>
      <c r="AN10" s="17" t="s">
        <v>59</v>
      </c>
      <c r="AO10" s="44" t="s">
        <v>375</v>
      </c>
    </row>
    <row r="11" spans="1:41" ht="12" customHeight="1" x14ac:dyDescent="0.35">
      <c r="A11" s="29" t="s">
        <v>65</v>
      </c>
      <c r="B11" s="30" t="s">
        <v>327</v>
      </c>
      <c r="C11" s="29">
        <v>60</v>
      </c>
      <c r="D11" s="29" t="s">
        <v>66</v>
      </c>
      <c r="E11" s="31" t="s">
        <v>377</v>
      </c>
      <c r="F11" s="29">
        <v>33619</v>
      </c>
      <c r="G11" s="29"/>
      <c r="H11" s="32">
        <v>46104</v>
      </c>
      <c r="I11" s="33">
        <v>46104</v>
      </c>
      <c r="J11" s="34">
        <v>46104</v>
      </c>
      <c r="K11" s="35">
        <v>0.16665509259259259</v>
      </c>
      <c r="L11" s="35">
        <v>0.20827546296296295</v>
      </c>
      <c r="M11" s="36">
        <v>0.24998842592592593</v>
      </c>
      <c r="N11" s="35">
        <v>0.29160879629629627</v>
      </c>
      <c r="O11" s="37">
        <v>4.1620370370370335E-2</v>
      </c>
      <c r="P11" s="29" t="s">
        <v>225</v>
      </c>
      <c r="Q11" s="29" t="s">
        <v>59</v>
      </c>
      <c r="R11" s="29" t="s">
        <v>225</v>
      </c>
      <c r="S11" s="38" t="s">
        <v>49</v>
      </c>
      <c r="T11" s="39" t="s">
        <v>73</v>
      </c>
      <c r="U11" s="39" t="s">
        <v>59</v>
      </c>
      <c r="V11" s="38" t="s">
        <v>107</v>
      </c>
      <c r="W11" s="40" t="s">
        <v>59</v>
      </c>
      <c r="X11" s="13" t="s">
        <v>59</v>
      </c>
      <c r="Y11" s="13" t="s">
        <v>59</v>
      </c>
      <c r="Z11" s="13" t="s">
        <v>59</v>
      </c>
      <c r="AA11" s="13"/>
      <c r="AB11" s="41"/>
      <c r="AC11" s="16">
        <v>0</v>
      </c>
      <c r="AD11" s="42"/>
      <c r="AE11" s="42"/>
      <c r="AF11" s="42"/>
      <c r="AG11" s="43"/>
      <c r="AH11" s="43"/>
      <c r="AI11" s="43"/>
      <c r="AJ11" s="17"/>
      <c r="AK11" s="17"/>
      <c r="AL11" s="17">
        <v>22.264631043256994</v>
      </c>
      <c r="AM11" s="17"/>
      <c r="AN11" s="17" t="s">
        <v>59</v>
      </c>
      <c r="AO11" s="44" t="s">
        <v>375</v>
      </c>
    </row>
    <row r="12" spans="1:41" ht="12" customHeight="1" x14ac:dyDescent="0.35">
      <c r="A12" s="29" t="s">
        <v>65</v>
      </c>
      <c r="B12" s="30" t="s">
        <v>327</v>
      </c>
      <c r="C12" s="29">
        <v>60</v>
      </c>
      <c r="D12" s="29" t="s">
        <v>66</v>
      </c>
      <c r="E12" s="31" t="s">
        <v>377</v>
      </c>
      <c r="F12" s="29">
        <v>33619</v>
      </c>
      <c r="G12" s="29"/>
      <c r="H12" s="32">
        <v>46102</v>
      </c>
      <c r="I12" s="33">
        <v>46102</v>
      </c>
      <c r="J12" s="34">
        <v>46102</v>
      </c>
      <c r="K12" s="35">
        <v>6.9444444444444448E-2</v>
      </c>
      <c r="L12" s="35">
        <v>0.15818287037037038</v>
      </c>
      <c r="M12" s="36">
        <v>0.15277777777777779</v>
      </c>
      <c r="N12" s="35">
        <v>0.24151620370370369</v>
      </c>
      <c r="O12" s="37">
        <v>8.8738425925925901E-2</v>
      </c>
      <c r="P12" s="29" t="s">
        <v>225</v>
      </c>
      <c r="Q12" s="29" t="s">
        <v>59</v>
      </c>
      <c r="R12" s="29" t="s">
        <v>225</v>
      </c>
      <c r="S12" s="38" t="s">
        <v>48</v>
      </c>
      <c r="T12" s="39" t="s">
        <v>73</v>
      </c>
      <c r="U12" s="39" t="s">
        <v>59</v>
      </c>
      <c r="V12" s="38" t="s">
        <v>100</v>
      </c>
      <c r="W12" s="40" t="s">
        <v>59</v>
      </c>
      <c r="X12" s="13" t="s">
        <v>59</v>
      </c>
      <c r="Y12" s="13" t="s">
        <v>59</v>
      </c>
      <c r="Z12" s="13" t="s">
        <v>59</v>
      </c>
      <c r="AA12" s="13"/>
      <c r="AB12" s="41"/>
      <c r="AC12" s="16">
        <v>0</v>
      </c>
      <c r="AD12" s="42"/>
      <c r="AE12" s="42"/>
      <c r="AF12" s="42"/>
      <c r="AG12" s="43"/>
      <c r="AH12" s="43"/>
      <c r="AI12" s="43"/>
      <c r="AJ12" s="17"/>
      <c r="AK12" s="17"/>
      <c r="AL12" s="17">
        <v>26.717557251908392</v>
      </c>
      <c r="AM12" s="17"/>
      <c r="AN12" s="17" t="s">
        <v>59</v>
      </c>
      <c r="AO12" s="44" t="s">
        <v>375</v>
      </c>
    </row>
    <row r="13" spans="1:41" ht="12" customHeight="1" x14ac:dyDescent="0.35">
      <c r="A13" s="29" t="s">
        <v>65</v>
      </c>
      <c r="B13" s="30" t="s">
        <v>327</v>
      </c>
      <c r="C13" s="29">
        <v>60</v>
      </c>
      <c r="D13" s="29" t="s">
        <v>66</v>
      </c>
      <c r="E13" s="31" t="s">
        <v>377</v>
      </c>
      <c r="F13" s="29">
        <v>33619</v>
      </c>
      <c r="G13" s="29"/>
      <c r="H13" s="32">
        <v>46102</v>
      </c>
      <c r="I13" s="33">
        <v>46102</v>
      </c>
      <c r="J13" s="34">
        <v>46102</v>
      </c>
      <c r="K13" s="35">
        <v>0.15819444444444444</v>
      </c>
      <c r="L13" s="35">
        <v>0.18089120370370371</v>
      </c>
      <c r="M13" s="36">
        <v>0.24152777777777779</v>
      </c>
      <c r="N13" s="35">
        <v>0.26422453703703702</v>
      </c>
      <c r="O13" s="37">
        <v>2.2696759259259236E-2</v>
      </c>
      <c r="P13" s="29" t="s">
        <v>224</v>
      </c>
      <c r="Q13" s="29" t="s">
        <v>59</v>
      </c>
      <c r="R13" s="29" t="s">
        <v>224</v>
      </c>
      <c r="S13" s="38" t="s">
        <v>49</v>
      </c>
      <c r="T13" s="39" t="s">
        <v>73</v>
      </c>
      <c r="U13" s="39" t="s">
        <v>59</v>
      </c>
      <c r="V13" s="38" t="s">
        <v>100</v>
      </c>
      <c r="W13" s="40" t="s">
        <v>59</v>
      </c>
      <c r="X13" s="13" t="s">
        <v>59</v>
      </c>
      <c r="Y13" s="13" t="s">
        <v>59</v>
      </c>
      <c r="Z13" s="13" t="s">
        <v>59</v>
      </c>
      <c r="AA13" s="13"/>
      <c r="AB13" s="41"/>
      <c r="AC13" s="16">
        <v>0</v>
      </c>
      <c r="AD13" s="42"/>
      <c r="AE13" s="42"/>
      <c r="AF13" s="42"/>
      <c r="AG13" s="43"/>
      <c r="AH13" s="43"/>
      <c r="AI13" s="43"/>
      <c r="AJ13" s="17"/>
      <c r="AK13" s="17"/>
      <c r="AL13" s="17">
        <v>26.717557251908392</v>
      </c>
      <c r="AM13" s="17"/>
      <c r="AN13" s="17" t="s">
        <v>59</v>
      </c>
      <c r="AO13" s="44" t="s">
        <v>375</v>
      </c>
    </row>
    <row r="14" spans="1:41" ht="12" customHeight="1" x14ac:dyDescent="0.35">
      <c r="A14" s="29" t="s">
        <v>65</v>
      </c>
      <c r="B14" s="30" t="s">
        <v>327</v>
      </c>
      <c r="C14" s="29">
        <v>60</v>
      </c>
      <c r="D14" s="29" t="s">
        <v>66</v>
      </c>
      <c r="E14" s="31" t="s">
        <v>377</v>
      </c>
      <c r="F14" s="29">
        <v>33619</v>
      </c>
      <c r="G14" s="29"/>
      <c r="H14" s="32">
        <v>46102</v>
      </c>
      <c r="I14" s="33">
        <v>46102</v>
      </c>
      <c r="J14" s="34">
        <v>46102</v>
      </c>
      <c r="K14" s="35">
        <v>0.18443287037037037</v>
      </c>
      <c r="L14" s="35">
        <v>0.19866898148148149</v>
      </c>
      <c r="M14" s="36">
        <v>0.26776620370370369</v>
      </c>
      <c r="N14" s="35">
        <v>0.2820023148148148</v>
      </c>
      <c r="O14" s="37">
        <v>1.4236111111111116E-2</v>
      </c>
      <c r="P14" s="29" t="s">
        <v>224</v>
      </c>
      <c r="Q14" s="29" t="s">
        <v>59</v>
      </c>
      <c r="R14" s="29" t="s">
        <v>224</v>
      </c>
      <c r="S14" s="38" t="s">
        <v>49</v>
      </c>
      <c r="T14" s="39" t="s">
        <v>73</v>
      </c>
      <c r="U14" s="39" t="s">
        <v>59</v>
      </c>
      <c r="V14" s="38" t="s">
        <v>100</v>
      </c>
      <c r="W14" s="40" t="s">
        <v>59</v>
      </c>
      <c r="X14" s="13" t="s">
        <v>59</v>
      </c>
      <c r="Y14" s="13" t="s">
        <v>59</v>
      </c>
      <c r="Z14" s="13" t="s">
        <v>59</v>
      </c>
      <c r="AA14" s="13"/>
      <c r="AB14" s="41"/>
      <c r="AC14" s="16">
        <v>0</v>
      </c>
      <c r="AD14" s="42"/>
      <c r="AE14" s="42"/>
      <c r="AF14" s="42"/>
      <c r="AG14" s="43"/>
      <c r="AH14" s="43"/>
      <c r="AI14" s="43"/>
      <c r="AJ14" s="17"/>
      <c r="AK14" s="17"/>
      <c r="AL14" s="17">
        <v>26.717557251908392</v>
      </c>
      <c r="AM14" s="17"/>
      <c r="AN14" s="17" t="s">
        <v>59</v>
      </c>
      <c r="AO14" s="44" t="s">
        <v>375</v>
      </c>
    </row>
    <row r="15" spans="1:41" ht="12" customHeight="1" x14ac:dyDescent="0.35">
      <c r="A15" s="29" t="s">
        <v>65</v>
      </c>
      <c r="B15" s="30" t="s">
        <v>327</v>
      </c>
      <c r="C15" s="29">
        <v>60</v>
      </c>
      <c r="D15" s="29" t="s">
        <v>66</v>
      </c>
      <c r="E15" s="31" t="s">
        <v>377</v>
      </c>
      <c r="F15" s="29">
        <v>33619</v>
      </c>
      <c r="G15" s="29"/>
      <c r="H15" s="32">
        <v>46102</v>
      </c>
      <c r="I15" s="33">
        <v>46102</v>
      </c>
      <c r="J15" s="34">
        <v>46102</v>
      </c>
      <c r="K15" s="35">
        <v>0.3671875</v>
      </c>
      <c r="L15" s="35">
        <v>0.37163194444444442</v>
      </c>
      <c r="M15" s="36">
        <v>0.45052083333333331</v>
      </c>
      <c r="N15" s="35">
        <v>0.45496527777777779</v>
      </c>
      <c r="O15" s="37">
        <v>4.4444444444444731E-3</v>
      </c>
      <c r="P15" s="29" t="s">
        <v>224</v>
      </c>
      <c r="Q15" s="29" t="s">
        <v>59</v>
      </c>
      <c r="R15" s="29" t="s">
        <v>224</v>
      </c>
      <c r="S15" s="38" t="s">
        <v>49</v>
      </c>
      <c r="T15" s="39" t="s">
        <v>73</v>
      </c>
      <c r="U15" s="39" t="s">
        <v>59</v>
      </c>
      <c r="V15" s="38" t="s">
        <v>100</v>
      </c>
      <c r="W15" s="40" t="s">
        <v>59</v>
      </c>
      <c r="X15" s="13" t="s">
        <v>59</v>
      </c>
      <c r="Y15" s="13" t="s">
        <v>59</v>
      </c>
      <c r="Z15" s="13" t="s">
        <v>59</v>
      </c>
      <c r="AA15" s="13"/>
      <c r="AB15" s="41"/>
      <c r="AC15" s="16">
        <v>0</v>
      </c>
      <c r="AD15" s="42"/>
      <c r="AE15" s="42"/>
      <c r="AF15" s="42"/>
      <c r="AG15" s="43"/>
      <c r="AH15" s="43"/>
      <c r="AI15" s="43"/>
      <c r="AJ15" s="17"/>
      <c r="AK15" s="17"/>
      <c r="AL15" s="17">
        <v>26.717557251908392</v>
      </c>
      <c r="AM15" s="17"/>
      <c r="AN15" s="17" t="s">
        <v>59</v>
      </c>
      <c r="AO15" s="44" t="s">
        <v>375</v>
      </c>
    </row>
    <row r="16" spans="1:41" ht="12" customHeight="1" x14ac:dyDescent="0.35">
      <c r="A16" s="29" t="s">
        <v>65</v>
      </c>
      <c r="B16" s="30" t="s">
        <v>327</v>
      </c>
      <c r="C16" s="29">
        <v>60</v>
      </c>
      <c r="D16" s="29" t="s">
        <v>66</v>
      </c>
      <c r="E16" s="31" t="s">
        <v>377</v>
      </c>
      <c r="F16" s="29">
        <v>33619</v>
      </c>
      <c r="G16" s="29"/>
      <c r="H16" s="32">
        <v>46103</v>
      </c>
      <c r="I16" s="33">
        <v>46103</v>
      </c>
      <c r="J16" s="34">
        <v>46103</v>
      </c>
      <c r="K16" s="35">
        <v>0.16665509259259259</v>
      </c>
      <c r="L16" s="35">
        <v>0.20472222222222222</v>
      </c>
      <c r="M16" s="36">
        <v>0.24998842592592593</v>
      </c>
      <c r="N16" s="35">
        <v>0.28805555555555556</v>
      </c>
      <c r="O16" s="37">
        <v>3.8067129629629631E-2</v>
      </c>
      <c r="P16" s="29" t="s">
        <v>225</v>
      </c>
      <c r="Q16" s="29" t="s">
        <v>59</v>
      </c>
      <c r="R16" s="29" t="s">
        <v>225</v>
      </c>
      <c r="S16" s="38" t="s">
        <v>49</v>
      </c>
      <c r="T16" s="39" t="s">
        <v>73</v>
      </c>
      <c r="U16" s="39" t="s">
        <v>59</v>
      </c>
      <c r="V16" s="38" t="s">
        <v>104</v>
      </c>
      <c r="W16" s="40" t="s">
        <v>59</v>
      </c>
      <c r="X16" s="13" t="s">
        <v>59</v>
      </c>
      <c r="Y16" s="13" t="s">
        <v>59</v>
      </c>
      <c r="Z16" s="13" t="s">
        <v>59</v>
      </c>
      <c r="AA16" s="13"/>
      <c r="AB16" s="41"/>
      <c r="AC16" s="16">
        <v>0</v>
      </c>
      <c r="AD16" s="42"/>
      <c r="AE16" s="42"/>
      <c r="AF16" s="42"/>
      <c r="AG16" s="43"/>
      <c r="AH16" s="43"/>
      <c r="AI16" s="43"/>
      <c r="AJ16" s="17"/>
      <c r="AK16" s="17"/>
      <c r="AL16" s="17">
        <v>26.717557251908392</v>
      </c>
      <c r="AM16" s="17"/>
      <c r="AN16" s="17" t="s">
        <v>59</v>
      </c>
      <c r="AO16" s="44" t="s">
        <v>375</v>
      </c>
    </row>
    <row r="17" spans="1:41" ht="12" customHeight="1" x14ac:dyDescent="0.35">
      <c r="A17" s="29" t="s">
        <v>65</v>
      </c>
      <c r="B17" s="30" t="s">
        <v>327</v>
      </c>
      <c r="C17" s="29">
        <v>60</v>
      </c>
      <c r="D17" s="29" t="s">
        <v>66</v>
      </c>
      <c r="E17" s="31" t="s">
        <v>377</v>
      </c>
      <c r="F17" s="29">
        <v>33619</v>
      </c>
      <c r="G17" s="29"/>
      <c r="H17" s="32">
        <v>46103</v>
      </c>
      <c r="I17" s="33">
        <v>46104</v>
      </c>
      <c r="J17" s="34">
        <v>46104</v>
      </c>
      <c r="K17" s="35">
        <v>0.95465277777777779</v>
      </c>
      <c r="L17" s="35">
        <v>0.99998842592592596</v>
      </c>
      <c r="M17" s="36">
        <v>3.7986111111111109E-2</v>
      </c>
      <c r="N17" s="35">
        <v>8.3321759259259262E-2</v>
      </c>
      <c r="O17" s="37">
        <v>4.5335648148148153E-2</v>
      </c>
      <c r="P17" s="29" t="s">
        <v>225</v>
      </c>
      <c r="Q17" s="29" t="s">
        <v>59</v>
      </c>
      <c r="R17" s="29" t="s">
        <v>225</v>
      </c>
      <c r="S17" s="38" t="s">
        <v>48</v>
      </c>
      <c r="T17" s="39" t="s">
        <v>73</v>
      </c>
      <c r="U17" s="39" t="s">
        <v>59</v>
      </c>
      <c r="V17" s="38" t="s">
        <v>107</v>
      </c>
      <c r="W17" s="40" t="s">
        <v>59</v>
      </c>
      <c r="X17" s="13" t="s">
        <v>59</v>
      </c>
      <c r="Y17" s="13" t="s">
        <v>59</v>
      </c>
      <c r="Z17" s="13" t="s">
        <v>59</v>
      </c>
      <c r="AA17" s="13"/>
      <c r="AB17" s="41"/>
      <c r="AC17" s="16">
        <v>8.1324752202326545E-2</v>
      </c>
      <c r="AD17" s="42"/>
      <c r="AE17" s="42"/>
      <c r="AF17" s="42"/>
      <c r="AG17" s="43"/>
      <c r="AH17" s="43"/>
      <c r="AI17" s="43"/>
      <c r="AJ17" s="17"/>
      <c r="AK17" s="17"/>
      <c r="AL17" s="17">
        <v>22.264631043256994</v>
      </c>
      <c r="AM17" s="17"/>
      <c r="AN17" s="17" t="s">
        <v>59</v>
      </c>
      <c r="AO17" s="44" t="s">
        <v>375</v>
      </c>
    </row>
    <row r="18" spans="1:41" ht="12" customHeight="1" x14ac:dyDescent="0.35">
      <c r="A18" s="29" t="s">
        <v>65</v>
      </c>
      <c r="B18" s="30" t="s">
        <v>327</v>
      </c>
      <c r="C18" s="29">
        <v>60</v>
      </c>
      <c r="D18" s="29" t="s">
        <v>66</v>
      </c>
      <c r="E18" s="31" t="s">
        <v>377</v>
      </c>
      <c r="F18" s="29">
        <v>33619</v>
      </c>
      <c r="G18" s="29"/>
      <c r="H18" s="32">
        <v>46103</v>
      </c>
      <c r="I18" s="33">
        <v>46103</v>
      </c>
      <c r="J18" s="34">
        <v>46103</v>
      </c>
      <c r="K18" s="35">
        <v>0.27858796296296295</v>
      </c>
      <c r="L18" s="35">
        <v>0.31503472222222223</v>
      </c>
      <c r="M18" s="36">
        <v>0.36192129629629627</v>
      </c>
      <c r="N18" s="35">
        <v>0.39836805555555554</v>
      </c>
      <c r="O18" s="37">
        <v>3.6446759259259276E-2</v>
      </c>
      <c r="P18" s="29" t="s">
        <v>225</v>
      </c>
      <c r="Q18" s="29" t="s">
        <v>59</v>
      </c>
      <c r="R18" s="29" t="s">
        <v>225</v>
      </c>
      <c r="S18" s="38" t="s">
        <v>49</v>
      </c>
      <c r="T18" s="39" t="s">
        <v>73</v>
      </c>
      <c r="U18" s="39" t="s">
        <v>59</v>
      </c>
      <c r="V18" s="38" t="s">
        <v>104</v>
      </c>
      <c r="W18" s="40" t="s">
        <v>59</v>
      </c>
      <c r="X18" s="13" t="s">
        <v>59</v>
      </c>
      <c r="Y18" s="13" t="s">
        <v>59</v>
      </c>
      <c r="Z18" s="13" t="s">
        <v>59</v>
      </c>
      <c r="AA18" s="13"/>
      <c r="AB18" s="41"/>
      <c r="AC18" s="16">
        <v>8.1324752202326545E-2</v>
      </c>
      <c r="AD18" s="42"/>
      <c r="AE18" s="42"/>
      <c r="AF18" s="42"/>
      <c r="AG18" s="43"/>
      <c r="AH18" s="43"/>
      <c r="AI18" s="43"/>
      <c r="AJ18" s="17"/>
      <c r="AK18" s="17"/>
      <c r="AL18" s="17">
        <v>26.717557251908392</v>
      </c>
      <c r="AM18" s="17"/>
      <c r="AN18" s="17" t="s">
        <v>59</v>
      </c>
      <c r="AO18" s="44" t="s">
        <v>375</v>
      </c>
    </row>
    <row r="19" spans="1:41" ht="12" customHeight="1" x14ac:dyDescent="0.35">
      <c r="A19" s="29" t="s">
        <v>65</v>
      </c>
      <c r="B19" s="30" t="s">
        <v>340</v>
      </c>
      <c r="C19" s="29">
        <v>274</v>
      </c>
      <c r="D19" s="29" t="s">
        <v>341</v>
      </c>
      <c r="E19" s="31" t="s">
        <v>367</v>
      </c>
      <c r="F19" s="29">
        <v>5434</v>
      </c>
      <c r="G19" s="29" t="s">
        <v>59</v>
      </c>
      <c r="H19" s="32">
        <v>46102</v>
      </c>
      <c r="I19" s="33">
        <v>46102</v>
      </c>
      <c r="J19" s="34" t="s">
        <v>71</v>
      </c>
      <c r="K19" s="35">
        <v>4.5138888888888888E-2</v>
      </c>
      <c r="L19" s="35">
        <v>0.22916666666666666</v>
      </c>
      <c r="M19" s="36">
        <v>0.1701388888888889</v>
      </c>
      <c r="N19" s="35">
        <v>0.35416666666666669</v>
      </c>
      <c r="O19" s="37">
        <f>IF(N19&gt;M19,N19-M19,(N19+1)-M19)</f>
        <v>0.18402777777777779</v>
      </c>
      <c r="P19" s="29" t="s">
        <v>349</v>
      </c>
      <c r="Q19" s="29" t="s">
        <v>343</v>
      </c>
      <c r="R19" s="29" t="s">
        <v>350</v>
      </c>
      <c r="S19" s="38" t="s">
        <v>48</v>
      </c>
      <c r="T19" s="39" t="s">
        <v>73</v>
      </c>
      <c r="U19" s="39" t="s">
        <v>59</v>
      </c>
      <c r="V19" s="38" t="s">
        <v>100</v>
      </c>
      <c r="W19" s="40" t="s">
        <v>59</v>
      </c>
      <c r="X19" s="13" t="s">
        <v>59</v>
      </c>
      <c r="Y19" s="13" t="s">
        <v>59</v>
      </c>
      <c r="Z19" s="13" t="s">
        <v>59</v>
      </c>
      <c r="AA19" s="13" t="s">
        <v>59</v>
      </c>
      <c r="AB19" s="41" t="s">
        <v>59</v>
      </c>
      <c r="AC19" s="16">
        <v>0.15000000000000002</v>
      </c>
      <c r="AD19" s="42" t="s">
        <v>59</v>
      </c>
      <c r="AE19" s="42" t="s">
        <v>59</v>
      </c>
      <c r="AF19" s="42" t="s">
        <v>59</v>
      </c>
      <c r="AG19" s="43" t="s">
        <v>59</v>
      </c>
      <c r="AH19" s="43" t="s">
        <v>59</v>
      </c>
      <c r="AI19" s="43" t="s">
        <v>59</v>
      </c>
      <c r="AJ19" s="17" t="s">
        <v>59</v>
      </c>
      <c r="AK19" s="17" t="s">
        <v>59</v>
      </c>
      <c r="AL19" s="17">
        <v>10.221374045801525</v>
      </c>
      <c r="AM19" s="17" t="s">
        <v>59</v>
      </c>
      <c r="AN19" s="17" t="s">
        <v>59</v>
      </c>
      <c r="AO19" s="44" t="s">
        <v>278</v>
      </c>
    </row>
    <row r="20" spans="1:41" ht="12" customHeight="1" x14ac:dyDescent="0.35">
      <c r="A20" s="29" t="s">
        <v>65</v>
      </c>
      <c r="B20" s="30" t="s">
        <v>310</v>
      </c>
      <c r="C20" s="29">
        <v>21</v>
      </c>
      <c r="D20" s="29" t="s">
        <v>311</v>
      </c>
      <c r="E20" s="31" t="s">
        <v>316</v>
      </c>
      <c r="F20" s="29">
        <v>39374</v>
      </c>
      <c r="G20" s="29" t="s">
        <v>59</v>
      </c>
      <c r="H20" s="32">
        <v>46101</v>
      </c>
      <c r="I20" s="33">
        <v>46101</v>
      </c>
      <c r="J20" s="34" t="s">
        <v>79</v>
      </c>
      <c r="K20" s="35">
        <v>0.375</v>
      </c>
      <c r="L20" s="35">
        <v>0.54166666666666663</v>
      </c>
      <c r="M20" s="36">
        <v>0.45833333333333331</v>
      </c>
      <c r="N20" s="35">
        <v>0.625</v>
      </c>
      <c r="O20" s="37">
        <f>IF(N20&gt;M20,N20-M20,(N20+1)-M20)</f>
        <v>0.16666666666666669</v>
      </c>
      <c r="P20" s="29" t="s">
        <v>313</v>
      </c>
      <c r="Q20" s="29" t="s">
        <v>59</v>
      </c>
      <c r="R20" s="29" t="s">
        <v>313</v>
      </c>
      <c r="S20" s="38" t="s">
        <v>46</v>
      </c>
      <c r="T20" s="39" t="s">
        <v>73</v>
      </c>
      <c r="U20" s="39" t="s">
        <v>59</v>
      </c>
      <c r="V20" s="38" t="s">
        <v>100</v>
      </c>
      <c r="W20" s="40" t="s">
        <v>59</v>
      </c>
      <c r="X20" s="13" t="s">
        <v>59</v>
      </c>
      <c r="Y20" s="13" t="s">
        <v>59</v>
      </c>
      <c r="Z20" s="13" t="s">
        <v>59</v>
      </c>
      <c r="AA20" s="13" t="s">
        <v>59</v>
      </c>
      <c r="AB20" s="41" t="s">
        <v>59</v>
      </c>
      <c r="AC20" s="16">
        <v>0.30874999999999997</v>
      </c>
      <c r="AD20" s="42" t="s">
        <v>59</v>
      </c>
      <c r="AE20" s="42" t="s">
        <v>59</v>
      </c>
      <c r="AF20" s="42" t="s">
        <v>59</v>
      </c>
      <c r="AG20" s="43" t="s">
        <v>59</v>
      </c>
      <c r="AH20" s="43" t="s">
        <v>59</v>
      </c>
      <c r="AI20" s="43" t="s">
        <v>59</v>
      </c>
      <c r="AJ20" s="17" t="s">
        <v>59</v>
      </c>
      <c r="AK20" s="17" t="s">
        <v>59</v>
      </c>
      <c r="AL20" s="17">
        <v>2.372598473282443</v>
      </c>
      <c r="AM20" s="17" t="s">
        <v>59</v>
      </c>
      <c r="AN20" s="17" t="s">
        <v>59</v>
      </c>
      <c r="AO20" s="44" t="s">
        <v>278</v>
      </c>
    </row>
    <row r="21" spans="1:41" ht="12" customHeight="1" x14ac:dyDescent="0.35">
      <c r="A21" s="29" t="s">
        <v>65</v>
      </c>
      <c r="B21" s="30" t="s">
        <v>310</v>
      </c>
      <c r="C21" s="29">
        <v>21</v>
      </c>
      <c r="D21" s="29" t="s">
        <v>311</v>
      </c>
      <c r="E21" s="31" t="s">
        <v>316</v>
      </c>
      <c r="F21" s="29">
        <v>39374</v>
      </c>
      <c r="G21" s="29" t="s">
        <v>59</v>
      </c>
      <c r="H21" s="32">
        <v>46102</v>
      </c>
      <c r="I21" s="33">
        <v>46102</v>
      </c>
      <c r="J21" s="34" t="s">
        <v>71</v>
      </c>
      <c r="K21" s="35">
        <v>0.375</v>
      </c>
      <c r="L21" s="35">
        <v>0.54513888888888884</v>
      </c>
      <c r="M21" s="36">
        <v>0.45833333333333331</v>
      </c>
      <c r="N21" s="35">
        <v>0.62847222222222221</v>
      </c>
      <c r="O21" s="37">
        <f>IF(N21&gt;M21,N21-M21,(N21+1)-M21)</f>
        <v>0.1701388888888889</v>
      </c>
      <c r="P21" s="29" t="s">
        <v>313</v>
      </c>
      <c r="Q21" s="29" t="s">
        <v>59</v>
      </c>
      <c r="R21" s="29" t="s">
        <v>313</v>
      </c>
      <c r="S21" s="38" t="s">
        <v>46</v>
      </c>
      <c r="T21" s="39" t="s">
        <v>73</v>
      </c>
      <c r="U21" s="39" t="s">
        <v>59</v>
      </c>
      <c r="V21" s="38" t="s">
        <v>104</v>
      </c>
      <c r="W21" s="40" t="s">
        <v>59</v>
      </c>
      <c r="X21" s="13" t="s">
        <v>59</v>
      </c>
      <c r="Y21" s="13" t="s">
        <v>59</v>
      </c>
      <c r="Z21" s="13" t="s">
        <v>59</v>
      </c>
      <c r="AA21" s="13" t="s">
        <v>59</v>
      </c>
      <c r="AB21" s="41" t="s">
        <v>59</v>
      </c>
      <c r="AC21" s="16">
        <v>0.32500000000000001</v>
      </c>
      <c r="AD21" s="42" t="s">
        <v>59</v>
      </c>
      <c r="AE21" s="42" t="s">
        <v>59</v>
      </c>
      <c r="AF21" s="42" t="s">
        <v>59</v>
      </c>
      <c r="AG21" s="43" t="s">
        <v>59</v>
      </c>
      <c r="AH21" s="43" t="s">
        <v>59</v>
      </c>
      <c r="AI21" s="43" t="s">
        <v>59</v>
      </c>
      <c r="AJ21" s="17" t="s">
        <v>59</v>
      </c>
      <c r="AK21" s="17" t="s">
        <v>59</v>
      </c>
      <c r="AL21" s="17">
        <v>2.8471181679389312</v>
      </c>
      <c r="AM21" s="17" t="s">
        <v>59</v>
      </c>
      <c r="AN21" s="17" t="s">
        <v>59</v>
      </c>
      <c r="AO21" s="44" t="s">
        <v>278</v>
      </c>
    </row>
    <row r="22" spans="1:41" ht="12" customHeight="1" x14ac:dyDescent="0.35">
      <c r="A22" s="29" t="s">
        <v>65</v>
      </c>
      <c r="B22" s="30" t="s">
        <v>340</v>
      </c>
      <c r="C22" s="29">
        <v>274</v>
      </c>
      <c r="D22" s="29" t="s">
        <v>341</v>
      </c>
      <c r="E22" s="31" t="s">
        <v>367</v>
      </c>
      <c r="F22" s="29">
        <v>5434</v>
      </c>
      <c r="G22" s="29" t="s">
        <v>59</v>
      </c>
      <c r="H22" s="32">
        <v>46104</v>
      </c>
      <c r="I22" s="33">
        <v>46104</v>
      </c>
      <c r="J22" s="34" t="s">
        <v>67</v>
      </c>
      <c r="K22" s="35">
        <v>0.25</v>
      </c>
      <c r="L22" s="35">
        <v>0.39583333333333331</v>
      </c>
      <c r="M22" s="36">
        <v>0.375</v>
      </c>
      <c r="N22" s="35">
        <v>0.52083333333333337</v>
      </c>
      <c r="O22" s="37">
        <f>IF(N22&gt;M22,N22-M22,(N22+1)-M22)</f>
        <v>0.14583333333333337</v>
      </c>
      <c r="P22" s="29" t="s">
        <v>347</v>
      </c>
      <c r="Q22" s="29" t="s">
        <v>343</v>
      </c>
      <c r="R22" s="29" t="s">
        <v>348</v>
      </c>
      <c r="S22" s="38" t="s">
        <v>48</v>
      </c>
      <c r="T22" s="39" t="s">
        <v>73</v>
      </c>
      <c r="U22" s="39" t="s">
        <v>59</v>
      </c>
      <c r="V22" s="38" t="s">
        <v>107</v>
      </c>
      <c r="W22" s="40" t="s">
        <v>59</v>
      </c>
      <c r="X22" s="13" t="s">
        <v>59</v>
      </c>
      <c r="Y22" s="13" t="s">
        <v>59</v>
      </c>
      <c r="Z22" s="13" t="s">
        <v>59</v>
      </c>
      <c r="AA22" s="13" t="s">
        <v>59</v>
      </c>
      <c r="AB22" s="41" t="s">
        <v>59</v>
      </c>
      <c r="AC22" s="16">
        <v>0.33250000000000002</v>
      </c>
      <c r="AD22" s="42" t="s">
        <v>59</v>
      </c>
      <c r="AE22" s="42" t="s">
        <v>59</v>
      </c>
      <c r="AF22" s="42" t="s">
        <v>59</v>
      </c>
      <c r="AG22" s="43" t="s">
        <v>59</v>
      </c>
      <c r="AH22" s="43" t="s">
        <v>59</v>
      </c>
      <c r="AI22" s="43" t="s">
        <v>59</v>
      </c>
      <c r="AJ22" s="17" t="s">
        <v>59</v>
      </c>
      <c r="AK22" s="17" t="s">
        <v>59</v>
      </c>
      <c r="AL22" s="17">
        <v>8.5178117048346049</v>
      </c>
      <c r="AM22" s="17" t="s">
        <v>59</v>
      </c>
      <c r="AN22" s="17" t="s">
        <v>59</v>
      </c>
      <c r="AO22" s="44" t="s">
        <v>278</v>
      </c>
    </row>
    <row r="23" spans="1:41" ht="12" customHeight="1" x14ac:dyDescent="0.35">
      <c r="A23" s="29" t="s">
        <v>65</v>
      </c>
      <c r="B23" s="30" t="s">
        <v>340</v>
      </c>
      <c r="C23" s="29">
        <v>274</v>
      </c>
      <c r="D23" s="29" t="s">
        <v>341</v>
      </c>
      <c r="E23" s="31" t="s">
        <v>367</v>
      </c>
      <c r="F23" s="29">
        <v>5434</v>
      </c>
      <c r="G23" s="29" t="s">
        <v>59</v>
      </c>
      <c r="H23" s="32">
        <v>46102</v>
      </c>
      <c r="I23" s="33">
        <v>46102</v>
      </c>
      <c r="J23" s="34" t="s">
        <v>71</v>
      </c>
      <c r="K23" s="35">
        <v>0.26319444444444445</v>
      </c>
      <c r="L23" s="35">
        <v>0.43055555555555558</v>
      </c>
      <c r="M23" s="36">
        <v>0.38819444444444445</v>
      </c>
      <c r="N23" s="35">
        <v>0.55555555555555558</v>
      </c>
      <c r="O23" s="37">
        <f>IF(N23&gt;M23,N23-M23,(N23+1)-M23)</f>
        <v>0.16736111111111113</v>
      </c>
      <c r="P23" s="29" t="s">
        <v>353</v>
      </c>
      <c r="Q23" s="29" t="s">
        <v>343</v>
      </c>
      <c r="R23" s="29" t="s">
        <v>354</v>
      </c>
      <c r="S23" s="38" t="s">
        <v>48</v>
      </c>
      <c r="T23" s="39" t="s">
        <v>73</v>
      </c>
      <c r="U23" s="39" t="s">
        <v>59</v>
      </c>
      <c r="V23" s="38" t="s">
        <v>100</v>
      </c>
      <c r="W23" s="40" t="s">
        <v>59</v>
      </c>
      <c r="X23" s="13" t="s">
        <v>59</v>
      </c>
      <c r="Y23" s="13" t="s">
        <v>59</v>
      </c>
      <c r="Z23" s="13" t="s">
        <v>59</v>
      </c>
      <c r="AA23" s="13" t="s">
        <v>59</v>
      </c>
      <c r="AB23" s="41" t="s">
        <v>59</v>
      </c>
      <c r="AC23" s="16">
        <v>0.35000000000000003</v>
      </c>
      <c r="AD23" s="42" t="s">
        <v>59</v>
      </c>
      <c r="AE23" s="42" t="s">
        <v>59</v>
      </c>
      <c r="AF23" s="42" t="s">
        <v>59</v>
      </c>
      <c r="AG23" s="43" t="s">
        <v>59</v>
      </c>
      <c r="AH23" s="43" t="s">
        <v>59</v>
      </c>
      <c r="AI23" s="43" t="s">
        <v>59</v>
      </c>
      <c r="AJ23" s="17" t="s">
        <v>59</v>
      </c>
      <c r="AK23" s="17" t="s">
        <v>59</v>
      </c>
      <c r="AL23" s="17">
        <v>10.221374045801525</v>
      </c>
      <c r="AM23" s="17" t="s">
        <v>59</v>
      </c>
      <c r="AN23" s="17" t="s">
        <v>59</v>
      </c>
      <c r="AO23" s="44" t="s">
        <v>278</v>
      </c>
    </row>
    <row r="24" spans="1:41" ht="12" customHeight="1" x14ac:dyDescent="0.35">
      <c r="A24" s="29" t="s">
        <v>96</v>
      </c>
      <c r="B24" s="30" t="s">
        <v>238</v>
      </c>
      <c r="C24" s="29">
        <v>6</v>
      </c>
      <c r="D24" s="29" t="s">
        <v>98</v>
      </c>
      <c r="E24" s="31" t="s">
        <v>366</v>
      </c>
      <c r="F24" s="29">
        <v>2661</v>
      </c>
      <c r="G24" s="29"/>
      <c r="H24" s="32">
        <v>46105</v>
      </c>
      <c r="I24" s="33">
        <v>46105</v>
      </c>
      <c r="J24" s="34">
        <v>46105</v>
      </c>
      <c r="K24" s="35">
        <v>0.49951388888888887</v>
      </c>
      <c r="L24" s="35">
        <v>0.54228009259259258</v>
      </c>
      <c r="M24" s="36">
        <v>0.54118055555555555</v>
      </c>
      <c r="N24" s="35">
        <v>0.58394675925925921</v>
      </c>
      <c r="O24" s="37">
        <v>4.2766203703703654E-2</v>
      </c>
      <c r="P24" s="29" t="s">
        <v>109</v>
      </c>
      <c r="Q24" s="29" t="s">
        <v>59</v>
      </c>
      <c r="R24" s="29" t="s">
        <v>109</v>
      </c>
      <c r="S24" s="38" t="s">
        <v>48</v>
      </c>
      <c r="T24" s="39" t="s">
        <v>73</v>
      </c>
      <c r="U24" s="39" t="s">
        <v>59</v>
      </c>
      <c r="V24" s="38" t="s">
        <v>107</v>
      </c>
      <c r="W24" s="40" t="s">
        <v>59</v>
      </c>
      <c r="X24" s="13" t="s">
        <v>59</v>
      </c>
      <c r="Y24" s="13" t="s">
        <v>59</v>
      </c>
      <c r="Z24" s="13" t="s">
        <v>59</v>
      </c>
      <c r="AA24" s="13"/>
      <c r="AB24" s="41"/>
      <c r="AC24" s="16">
        <v>0.4</v>
      </c>
      <c r="AD24" s="42"/>
      <c r="AE24" s="42"/>
      <c r="AF24" s="42"/>
      <c r="AG24" s="43"/>
      <c r="AH24" s="43"/>
      <c r="AI24" s="43"/>
      <c r="AJ24" s="17"/>
      <c r="AK24" s="17"/>
      <c r="AL24" s="17">
        <v>1.7283333333333333</v>
      </c>
      <c r="AM24" s="17"/>
      <c r="AN24" s="17" t="s">
        <v>59</v>
      </c>
      <c r="AO24" s="44" t="s">
        <v>373</v>
      </c>
    </row>
    <row r="25" spans="1:41" ht="12" customHeight="1" x14ac:dyDescent="0.35">
      <c r="A25" s="29" t="s">
        <v>96</v>
      </c>
      <c r="B25" s="30" t="s">
        <v>238</v>
      </c>
      <c r="C25" s="29">
        <v>6</v>
      </c>
      <c r="D25" s="29" t="s">
        <v>98</v>
      </c>
      <c r="E25" s="31" t="s">
        <v>366</v>
      </c>
      <c r="F25" s="29">
        <v>2661</v>
      </c>
      <c r="G25" s="29"/>
      <c r="H25" s="32">
        <v>46104</v>
      </c>
      <c r="I25" s="33">
        <v>46104</v>
      </c>
      <c r="J25" s="34">
        <v>46104</v>
      </c>
      <c r="K25" s="35">
        <v>0.53903935185185181</v>
      </c>
      <c r="L25" s="35">
        <v>0.55707175925925922</v>
      </c>
      <c r="M25" s="36">
        <v>0.58070601851851855</v>
      </c>
      <c r="N25" s="35">
        <v>0.59873842592592597</v>
      </c>
      <c r="O25" s="37">
        <v>1.8032407407407414E-2</v>
      </c>
      <c r="P25" s="29" t="s">
        <v>108</v>
      </c>
      <c r="Q25" s="29" t="s">
        <v>59</v>
      </c>
      <c r="R25" s="29" t="s">
        <v>108</v>
      </c>
      <c r="S25" s="38" t="s">
        <v>49</v>
      </c>
      <c r="T25" s="39" t="s">
        <v>73</v>
      </c>
      <c r="U25" s="39" t="s">
        <v>59</v>
      </c>
      <c r="V25" s="38" t="s">
        <v>107</v>
      </c>
      <c r="W25" s="40" t="s">
        <v>59</v>
      </c>
      <c r="X25" s="13" t="s">
        <v>59</v>
      </c>
      <c r="Y25" s="13" t="s">
        <v>59</v>
      </c>
      <c r="Z25" s="13" t="s">
        <v>59</v>
      </c>
      <c r="AA25" s="13"/>
      <c r="AB25" s="41"/>
      <c r="AC25" s="16">
        <v>0.45</v>
      </c>
      <c r="AD25" s="42"/>
      <c r="AE25" s="42"/>
      <c r="AF25" s="42"/>
      <c r="AG25" s="43"/>
      <c r="AH25" s="43"/>
      <c r="AI25" s="43"/>
      <c r="AJ25" s="17"/>
      <c r="AK25" s="17"/>
      <c r="AL25" s="17">
        <v>1.7283333333333333</v>
      </c>
      <c r="AM25" s="17"/>
      <c r="AN25" s="17" t="s">
        <v>59</v>
      </c>
      <c r="AO25" s="44" t="s">
        <v>373</v>
      </c>
    </row>
    <row r="26" spans="1:41" ht="12" customHeight="1" x14ac:dyDescent="0.35">
      <c r="A26" s="29" t="s">
        <v>96</v>
      </c>
      <c r="B26" s="30" t="s">
        <v>238</v>
      </c>
      <c r="C26" s="29">
        <v>6</v>
      </c>
      <c r="D26" s="29" t="s">
        <v>98</v>
      </c>
      <c r="E26" s="31" t="s">
        <v>366</v>
      </c>
      <c r="F26" s="29">
        <v>2661</v>
      </c>
      <c r="G26" s="29"/>
      <c r="H26" s="32">
        <v>46106</v>
      </c>
      <c r="I26" s="33">
        <v>46106</v>
      </c>
      <c r="J26" s="34">
        <v>46106</v>
      </c>
      <c r="K26" s="35">
        <v>0.15636574074074075</v>
      </c>
      <c r="L26" s="35">
        <v>0.19912037037037036</v>
      </c>
      <c r="M26" s="36">
        <v>0.19803240740740741</v>
      </c>
      <c r="N26" s="35">
        <v>0.24078703703703705</v>
      </c>
      <c r="O26" s="37">
        <v>4.2754629629629642E-2</v>
      </c>
      <c r="P26" s="29" t="s">
        <v>109</v>
      </c>
      <c r="Q26" s="29" t="s">
        <v>59</v>
      </c>
      <c r="R26" s="29" t="s">
        <v>109</v>
      </c>
      <c r="S26" s="38" t="s">
        <v>48</v>
      </c>
      <c r="T26" s="39" t="s">
        <v>73</v>
      </c>
      <c r="U26" s="39" t="s">
        <v>59</v>
      </c>
      <c r="V26" s="38" t="s">
        <v>107</v>
      </c>
      <c r="W26" s="40" t="s">
        <v>59</v>
      </c>
      <c r="X26" s="13" t="s">
        <v>59</v>
      </c>
      <c r="Y26" s="13" t="s">
        <v>59</v>
      </c>
      <c r="Z26" s="13" t="s">
        <v>59</v>
      </c>
      <c r="AA26" s="13"/>
      <c r="AB26" s="41"/>
      <c r="AC26" s="16">
        <v>0.5</v>
      </c>
      <c r="AD26" s="42"/>
      <c r="AE26" s="42"/>
      <c r="AF26" s="42"/>
      <c r="AG26" s="43"/>
      <c r="AH26" s="43"/>
      <c r="AI26" s="43"/>
      <c r="AJ26" s="17"/>
      <c r="AK26" s="17"/>
      <c r="AL26" s="17">
        <v>1.7283333333333333</v>
      </c>
      <c r="AM26" s="17"/>
      <c r="AN26" s="17" t="s">
        <v>59</v>
      </c>
      <c r="AO26" s="44" t="s">
        <v>373</v>
      </c>
    </row>
    <row r="27" spans="1:41" ht="12" customHeight="1" x14ac:dyDescent="0.35">
      <c r="A27" s="29" t="s">
        <v>65</v>
      </c>
      <c r="B27" s="30" t="s">
        <v>310</v>
      </c>
      <c r="C27" s="29">
        <v>21</v>
      </c>
      <c r="D27" s="29" t="s">
        <v>311</v>
      </c>
      <c r="E27" s="31" t="s">
        <v>316</v>
      </c>
      <c r="F27" s="29">
        <v>39374</v>
      </c>
      <c r="G27" s="29" t="s">
        <v>59</v>
      </c>
      <c r="H27" s="32">
        <v>46102</v>
      </c>
      <c r="I27" s="33">
        <v>46102</v>
      </c>
      <c r="J27" s="34" t="s">
        <v>71</v>
      </c>
      <c r="K27" s="35">
        <v>0.72222222222222221</v>
      </c>
      <c r="L27" s="35">
        <v>0.85416666666666663</v>
      </c>
      <c r="M27" s="36">
        <v>0.80555555555555558</v>
      </c>
      <c r="N27" s="35">
        <v>0.9375</v>
      </c>
      <c r="O27" s="37">
        <f>IF(N27&gt;M27,N27-M27,(N27+1)-M27)</f>
        <v>0.13194444444444442</v>
      </c>
      <c r="P27" s="29" t="s">
        <v>313</v>
      </c>
      <c r="Q27" s="29" t="s">
        <v>59</v>
      </c>
      <c r="R27" s="29" t="s">
        <v>313</v>
      </c>
      <c r="S27" s="38" t="s">
        <v>46</v>
      </c>
      <c r="T27" s="39" t="s">
        <v>73</v>
      </c>
      <c r="U27" s="39" t="s">
        <v>59</v>
      </c>
      <c r="V27" s="38" t="s">
        <v>104</v>
      </c>
      <c r="W27" s="40" t="s">
        <v>59</v>
      </c>
      <c r="X27" s="13" t="s">
        <v>59</v>
      </c>
      <c r="Y27" s="13" t="s">
        <v>59</v>
      </c>
      <c r="Z27" s="13" t="s">
        <v>59</v>
      </c>
      <c r="AA27" s="13" t="s">
        <v>59</v>
      </c>
      <c r="AB27" s="41" t="s">
        <v>59</v>
      </c>
      <c r="AC27" s="16">
        <v>0.5</v>
      </c>
      <c r="AD27" s="42" t="s">
        <v>59</v>
      </c>
      <c r="AE27" s="42" t="s">
        <v>59</v>
      </c>
      <c r="AF27" s="42" t="s">
        <v>59</v>
      </c>
      <c r="AG27" s="43" t="s">
        <v>59</v>
      </c>
      <c r="AH27" s="43" t="s">
        <v>59</v>
      </c>
      <c r="AI27" s="43" t="s">
        <v>59</v>
      </c>
      <c r="AJ27" s="17" t="s">
        <v>59</v>
      </c>
      <c r="AK27" s="17" t="s">
        <v>59</v>
      </c>
      <c r="AL27" s="17">
        <v>2.8471181679389312</v>
      </c>
      <c r="AM27" s="17" t="s">
        <v>59</v>
      </c>
      <c r="AN27" s="17" t="s">
        <v>59</v>
      </c>
      <c r="AO27" s="44" t="s">
        <v>278</v>
      </c>
    </row>
    <row r="28" spans="1:41" ht="12" customHeight="1" x14ac:dyDescent="0.35">
      <c r="A28" s="29" t="s">
        <v>65</v>
      </c>
      <c r="B28" s="30" t="s">
        <v>310</v>
      </c>
      <c r="C28" s="29">
        <v>21</v>
      </c>
      <c r="D28" s="29" t="s">
        <v>311</v>
      </c>
      <c r="E28" s="31" t="s">
        <v>316</v>
      </c>
      <c r="F28" s="29">
        <v>39374</v>
      </c>
      <c r="G28" s="29" t="s">
        <v>59</v>
      </c>
      <c r="H28" s="32">
        <v>46103</v>
      </c>
      <c r="I28" s="33">
        <v>46103</v>
      </c>
      <c r="J28" s="34" t="s">
        <v>74</v>
      </c>
      <c r="K28" s="35">
        <v>0.6875</v>
      </c>
      <c r="L28" s="35">
        <v>0.83333333333333337</v>
      </c>
      <c r="M28" s="36">
        <v>0.77083333333333337</v>
      </c>
      <c r="N28" s="35">
        <v>0.91666666666666663</v>
      </c>
      <c r="O28" s="37">
        <f>IF(N28&gt;M28,N28-M28,(N28+1)-M28)</f>
        <v>0.14583333333333326</v>
      </c>
      <c r="P28" s="29" t="s">
        <v>313</v>
      </c>
      <c r="Q28" s="29" t="s">
        <v>59</v>
      </c>
      <c r="R28" s="29" t="s">
        <v>313</v>
      </c>
      <c r="S28" s="38" t="s">
        <v>46</v>
      </c>
      <c r="T28" s="39" t="s">
        <v>73</v>
      </c>
      <c r="U28" s="39" t="s">
        <v>59</v>
      </c>
      <c r="V28" s="38" t="s">
        <v>107</v>
      </c>
      <c r="W28" s="40" t="s">
        <v>59</v>
      </c>
      <c r="X28" s="13" t="s">
        <v>59</v>
      </c>
      <c r="Y28" s="13" t="s">
        <v>59</v>
      </c>
      <c r="Z28" s="13" t="s">
        <v>59</v>
      </c>
      <c r="AA28" s="13" t="s">
        <v>59</v>
      </c>
      <c r="AB28" s="41" t="s">
        <v>59</v>
      </c>
      <c r="AC28" s="16">
        <v>0.5</v>
      </c>
      <c r="AD28" s="42" t="s">
        <v>59</v>
      </c>
      <c r="AE28" s="42" t="s">
        <v>59</v>
      </c>
      <c r="AF28" s="42" t="s">
        <v>59</v>
      </c>
      <c r="AG28" s="43" t="s">
        <v>59</v>
      </c>
      <c r="AH28" s="43" t="s">
        <v>59</v>
      </c>
      <c r="AI28" s="43" t="s">
        <v>59</v>
      </c>
      <c r="AJ28" s="17" t="s">
        <v>59</v>
      </c>
      <c r="AK28" s="17" t="s">
        <v>59</v>
      </c>
      <c r="AL28" s="17">
        <v>2.8471181679389312</v>
      </c>
      <c r="AM28" s="17" t="s">
        <v>59</v>
      </c>
      <c r="AN28" s="17" t="s">
        <v>59</v>
      </c>
      <c r="AO28" s="44" t="s">
        <v>278</v>
      </c>
    </row>
    <row r="29" spans="1:41" ht="12" customHeight="1" x14ac:dyDescent="0.35">
      <c r="A29" s="29" t="s">
        <v>65</v>
      </c>
      <c r="B29" s="30" t="s">
        <v>340</v>
      </c>
      <c r="C29" s="29">
        <v>274</v>
      </c>
      <c r="D29" s="29" t="s">
        <v>341</v>
      </c>
      <c r="E29" s="31" t="s">
        <v>367</v>
      </c>
      <c r="F29" s="29">
        <v>5434</v>
      </c>
      <c r="G29" s="29" t="s">
        <v>59</v>
      </c>
      <c r="H29" s="32">
        <v>46102</v>
      </c>
      <c r="I29" s="33">
        <v>46102</v>
      </c>
      <c r="J29" s="34" t="s">
        <v>71</v>
      </c>
      <c r="K29" s="35">
        <v>0.22916666666666666</v>
      </c>
      <c r="L29" s="35">
        <v>0.26319444444444445</v>
      </c>
      <c r="M29" s="36">
        <v>0.35416666666666669</v>
      </c>
      <c r="N29" s="35">
        <v>0.38819444444444445</v>
      </c>
      <c r="O29" s="37">
        <f>IF(N29&gt;M29,N29-M29,(N29+1)-M29)</f>
        <v>3.4027777777777768E-2</v>
      </c>
      <c r="P29" s="29" t="s">
        <v>351</v>
      </c>
      <c r="Q29" s="29" t="s">
        <v>343</v>
      </c>
      <c r="R29" s="29" t="s">
        <v>352</v>
      </c>
      <c r="S29" s="38" t="s">
        <v>49</v>
      </c>
      <c r="T29" s="39" t="s">
        <v>73</v>
      </c>
      <c r="U29" s="39" t="s">
        <v>59</v>
      </c>
      <c r="V29" s="38" t="s">
        <v>100</v>
      </c>
      <c r="W29" s="40" t="s">
        <v>59</v>
      </c>
      <c r="X29" s="13" t="s">
        <v>59</v>
      </c>
      <c r="Y29" s="13" t="s">
        <v>59</v>
      </c>
      <c r="Z29" s="13" t="s">
        <v>59</v>
      </c>
      <c r="AA29" s="13" t="s">
        <v>59</v>
      </c>
      <c r="AB29" s="41" t="s">
        <v>59</v>
      </c>
      <c r="AC29" s="16">
        <v>0.52500000000000002</v>
      </c>
      <c r="AD29" s="42" t="s">
        <v>59</v>
      </c>
      <c r="AE29" s="42" t="s">
        <v>59</v>
      </c>
      <c r="AF29" s="42" t="s">
        <v>59</v>
      </c>
      <c r="AG29" s="43" t="s">
        <v>59</v>
      </c>
      <c r="AH29" s="43" t="s">
        <v>59</v>
      </c>
      <c r="AI29" s="43" t="s">
        <v>59</v>
      </c>
      <c r="AJ29" s="17" t="s">
        <v>59</v>
      </c>
      <c r="AK29" s="17" t="s">
        <v>59</v>
      </c>
      <c r="AL29" s="17">
        <v>10.221374045801525</v>
      </c>
      <c r="AM29" s="17" t="s">
        <v>59</v>
      </c>
      <c r="AN29" s="17" t="s">
        <v>59</v>
      </c>
      <c r="AO29" s="44" t="s">
        <v>278</v>
      </c>
    </row>
    <row r="30" spans="1:41" ht="12" customHeight="1" x14ac:dyDescent="0.35">
      <c r="A30" s="29" t="s">
        <v>65</v>
      </c>
      <c r="B30" s="30" t="s">
        <v>327</v>
      </c>
      <c r="C30" s="29">
        <v>60</v>
      </c>
      <c r="D30" s="29" t="s">
        <v>66</v>
      </c>
      <c r="E30" s="31" t="s">
        <v>377</v>
      </c>
      <c r="F30" s="29">
        <v>33619</v>
      </c>
      <c r="G30" s="29"/>
      <c r="H30" s="32">
        <v>46105</v>
      </c>
      <c r="I30" s="33">
        <v>46105</v>
      </c>
      <c r="J30" s="34">
        <v>46105</v>
      </c>
      <c r="K30" s="35">
        <v>0.16665509259259259</v>
      </c>
      <c r="L30" s="35">
        <v>0.26050925925925927</v>
      </c>
      <c r="M30" s="36">
        <v>0.24998842592592593</v>
      </c>
      <c r="N30" s="35">
        <v>0.34384259259259259</v>
      </c>
      <c r="O30" s="37">
        <v>9.3854166666666655E-2</v>
      </c>
      <c r="P30" s="29" t="s">
        <v>225</v>
      </c>
      <c r="Q30" s="29" t="s">
        <v>59</v>
      </c>
      <c r="R30" s="29" t="s">
        <v>225</v>
      </c>
      <c r="S30" s="38" t="s">
        <v>48</v>
      </c>
      <c r="T30" s="39" t="s">
        <v>73</v>
      </c>
      <c r="U30" s="39" t="s">
        <v>59</v>
      </c>
      <c r="V30" s="38" t="s">
        <v>107</v>
      </c>
      <c r="W30" s="40" t="s">
        <v>59</v>
      </c>
      <c r="X30" s="13" t="s">
        <v>59</v>
      </c>
      <c r="Y30" s="13" t="s">
        <v>59</v>
      </c>
      <c r="Z30" s="13" t="s">
        <v>59</v>
      </c>
      <c r="AA30" s="13"/>
      <c r="AB30" s="41"/>
      <c r="AC30" s="16">
        <v>0.56927326541628565</v>
      </c>
      <c r="AD30" s="42"/>
      <c r="AE30" s="42"/>
      <c r="AF30" s="42"/>
      <c r="AG30" s="43"/>
      <c r="AH30" s="43"/>
      <c r="AI30" s="43"/>
      <c r="AJ30" s="17"/>
      <c r="AK30" s="17"/>
      <c r="AL30" s="17">
        <v>22.264631043256994</v>
      </c>
      <c r="AM30" s="17"/>
      <c r="AN30" s="17" t="s">
        <v>59</v>
      </c>
      <c r="AO30" s="44" t="s">
        <v>375</v>
      </c>
    </row>
    <row r="31" spans="1:41" ht="12" customHeight="1" x14ac:dyDescent="0.35">
      <c r="A31" s="29" t="s">
        <v>65</v>
      </c>
      <c r="B31" s="30" t="s">
        <v>310</v>
      </c>
      <c r="C31" s="29">
        <v>21</v>
      </c>
      <c r="D31" s="29" t="s">
        <v>311</v>
      </c>
      <c r="E31" s="31" t="s">
        <v>315</v>
      </c>
      <c r="F31" s="29">
        <v>25696</v>
      </c>
      <c r="G31" s="29" t="s">
        <v>59</v>
      </c>
      <c r="H31" s="32">
        <v>46104</v>
      </c>
      <c r="I31" s="33">
        <v>46104</v>
      </c>
      <c r="J31" s="34" t="s">
        <v>67</v>
      </c>
      <c r="K31" s="35">
        <v>0.75347222222222221</v>
      </c>
      <c r="L31" s="35">
        <v>0.89930555555555558</v>
      </c>
      <c r="M31" s="36">
        <v>0.83680555555555558</v>
      </c>
      <c r="N31" s="35">
        <v>0.98263888888888884</v>
      </c>
      <c r="O31" s="37">
        <f>IF(N31&gt;M31,N31-M31,(N31+1)-M31)</f>
        <v>0.14583333333333326</v>
      </c>
      <c r="P31" s="29" t="s">
        <v>313</v>
      </c>
      <c r="Q31" s="29" t="s">
        <v>59</v>
      </c>
      <c r="R31" s="29" t="s">
        <v>313</v>
      </c>
      <c r="S31" s="38" t="s">
        <v>48</v>
      </c>
      <c r="T31" s="39" t="s">
        <v>73</v>
      </c>
      <c r="U31" s="39" t="s">
        <v>59</v>
      </c>
      <c r="V31" s="38" t="s">
        <v>107</v>
      </c>
      <c r="W31" s="40" t="s">
        <v>59</v>
      </c>
      <c r="X31" s="13" t="s">
        <v>59</v>
      </c>
      <c r="Y31" s="13" t="s">
        <v>59</v>
      </c>
      <c r="Z31" s="13" t="s">
        <v>59</v>
      </c>
      <c r="AA31" s="13" t="s">
        <v>59</v>
      </c>
      <c r="AB31" s="41" t="s">
        <v>59</v>
      </c>
      <c r="AC31" s="16">
        <v>0.56999999999999995</v>
      </c>
      <c r="AD31" s="42" t="s">
        <v>59</v>
      </c>
      <c r="AE31" s="42" t="s">
        <v>59</v>
      </c>
      <c r="AF31" s="42" t="s">
        <v>59</v>
      </c>
      <c r="AG31" s="43" t="s">
        <v>59</v>
      </c>
      <c r="AH31" s="43" t="s">
        <v>59</v>
      </c>
      <c r="AI31" s="43" t="s">
        <v>59</v>
      </c>
      <c r="AJ31" s="17" t="s">
        <v>59</v>
      </c>
      <c r="AK31" s="17" t="s">
        <v>59</v>
      </c>
      <c r="AL31" s="17">
        <v>3.3333333333333335</v>
      </c>
      <c r="AM31" s="17" t="s">
        <v>59</v>
      </c>
      <c r="AN31" s="17" t="s">
        <v>59</v>
      </c>
      <c r="AO31" s="44" t="s">
        <v>278</v>
      </c>
    </row>
    <row r="32" spans="1:41" ht="12" customHeight="1" x14ac:dyDescent="0.35">
      <c r="A32" s="29" t="s">
        <v>96</v>
      </c>
      <c r="B32" s="30" t="s">
        <v>238</v>
      </c>
      <c r="C32" s="29">
        <v>6</v>
      </c>
      <c r="D32" s="29" t="s">
        <v>98</v>
      </c>
      <c r="E32" s="31" t="s">
        <v>366</v>
      </c>
      <c r="F32" s="29">
        <v>2661</v>
      </c>
      <c r="G32" s="29"/>
      <c r="H32" s="32">
        <v>46105</v>
      </c>
      <c r="I32" s="33">
        <v>46105</v>
      </c>
      <c r="J32" s="34">
        <v>46105</v>
      </c>
      <c r="K32" s="35">
        <v>1.6354166666666666E-2</v>
      </c>
      <c r="L32" s="35">
        <v>5.9108796296296298E-2</v>
      </c>
      <c r="M32" s="36">
        <v>5.8020833333333334E-2</v>
      </c>
      <c r="N32" s="35">
        <v>0.10077546296296297</v>
      </c>
      <c r="O32" s="37">
        <v>4.2754629629629635E-2</v>
      </c>
      <c r="P32" s="29" t="s">
        <v>109</v>
      </c>
      <c r="Q32" s="29" t="s">
        <v>59</v>
      </c>
      <c r="R32" s="29" t="s">
        <v>109</v>
      </c>
      <c r="S32" s="38" t="s">
        <v>48</v>
      </c>
      <c r="T32" s="39" t="s">
        <v>73</v>
      </c>
      <c r="U32" s="39" t="s">
        <v>59</v>
      </c>
      <c r="V32" s="38" t="s">
        <v>107</v>
      </c>
      <c r="W32" s="40" t="s">
        <v>59</v>
      </c>
      <c r="X32" s="13" t="s">
        <v>59</v>
      </c>
      <c r="Y32" s="13" t="s">
        <v>59</v>
      </c>
      <c r="Z32" s="13" t="s">
        <v>59</v>
      </c>
      <c r="AA32" s="13"/>
      <c r="AB32" s="41"/>
      <c r="AC32" s="16">
        <v>0.6</v>
      </c>
      <c r="AD32" s="42"/>
      <c r="AE32" s="42"/>
      <c r="AF32" s="42"/>
      <c r="AG32" s="43"/>
      <c r="AH32" s="43"/>
      <c r="AI32" s="43"/>
      <c r="AJ32" s="17"/>
      <c r="AK32" s="17"/>
      <c r="AL32" s="17">
        <v>1.7283333333333333</v>
      </c>
      <c r="AM32" s="17"/>
      <c r="AN32" s="17" t="s">
        <v>59</v>
      </c>
      <c r="AO32" s="44" t="s">
        <v>373</v>
      </c>
    </row>
    <row r="33" spans="1:41" ht="12" customHeight="1" x14ac:dyDescent="0.35">
      <c r="A33" s="29" t="s">
        <v>65</v>
      </c>
      <c r="B33" s="30" t="s">
        <v>340</v>
      </c>
      <c r="C33" s="29">
        <v>274</v>
      </c>
      <c r="D33" s="29" t="s">
        <v>341</v>
      </c>
      <c r="E33" s="31" t="s">
        <v>367</v>
      </c>
      <c r="F33" s="29">
        <v>5434</v>
      </c>
      <c r="G33" s="29" t="s">
        <v>59</v>
      </c>
      <c r="H33" s="32">
        <v>46104</v>
      </c>
      <c r="I33" s="33">
        <v>46104</v>
      </c>
      <c r="J33" s="34" t="s">
        <v>67</v>
      </c>
      <c r="K33" s="35">
        <v>0.39583333333333331</v>
      </c>
      <c r="L33" s="35">
        <v>0.60555555555555551</v>
      </c>
      <c r="M33" s="36">
        <v>0.52083333333333337</v>
      </c>
      <c r="N33" s="35">
        <v>0.73055555555555551</v>
      </c>
      <c r="O33" s="37">
        <f>IF(N33&gt;M33,N33-M33,(N33+1)-M33)</f>
        <v>0.20972222222222214</v>
      </c>
      <c r="P33" s="29" t="s">
        <v>342</v>
      </c>
      <c r="Q33" s="29" t="s">
        <v>343</v>
      </c>
      <c r="R33" s="29" t="s">
        <v>344</v>
      </c>
      <c r="S33" s="38" t="s">
        <v>48</v>
      </c>
      <c r="T33" s="39" t="s">
        <v>73</v>
      </c>
      <c r="U33" s="39" t="s">
        <v>59</v>
      </c>
      <c r="V33" s="38" t="s">
        <v>107</v>
      </c>
      <c r="W33" s="40" t="s">
        <v>59</v>
      </c>
      <c r="X33" s="13" t="s">
        <v>59</v>
      </c>
      <c r="Y33" s="13" t="s">
        <v>59</v>
      </c>
      <c r="Z33" s="13" t="s">
        <v>59</v>
      </c>
      <c r="AA33" s="13" t="s">
        <v>59</v>
      </c>
      <c r="AB33" s="41" t="s">
        <v>59</v>
      </c>
      <c r="AC33" s="16">
        <v>0.61750000000000005</v>
      </c>
      <c r="AD33" s="42" t="s">
        <v>59</v>
      </c>
      <c r="AE33" s="42" t="s">
        <v>59</v>
      </c>
      <c r="AF33" s="42" t="s">
        <v>59</v>
      </c>
      <c r="AG33" s="43" t="s">
        <v>59</v>
      </c>
      <c r="AH33" s="43" t="s">
        <v>59</v>
      </c>
      <c r="AI33" s="43" t="s">
        <v>59</v>
      </c>
      <c r="AJ33" s="17" t="s">
        <v>59</v>
      </c>
      <c r="AK33" s="17" t="s">
        <v>59</v>
      </c>
      <c r="AL33" s="17">
        <v>8.5178117048346049</v>
      </c>
      <c r="AM33" s="17" t="s">
        <v>59</v>
      </c>
      <c r="AN33" s="17" t="s">
        <v>59</v>
      </c>
      <c r="AO33" s="44" t="s">
        <v>278</v>
      </c>
    </row>
    <row r="34" spans="1:41" ht="12" customHeight="1" x14ac:dyDescent="0.35">
      <c r="A34" s="29" t="s">
        <v>65</v>
      </c>
      <c r="B34" s="30" t="s">
        <v>327</v>
      </c>
      <c r="C34" s="29">
        <v>60</v>
      </c>
      <c r="D34" s="29" t="s">
        <v>66</v>
      </c>
      <c r="E34" s="31" t="s">
        <v>377</v>
      </c>
      <c r="F34" s="29">
        <v>33619</v>
      </c>
      <c r="G34" s="29"/>
      <c r="H34" s="32">
        <v>46106</v>
      </c>
      <c r="I34" s="33">
        <v>46106</v>
      </c>
      <c r="J34" s="34">
        <v>46106</v>
      </c>
      <c r="K34" s="35">
        <v>0.33978009259259262</v>
      </c>
      <c r="L34" s="35">
        <v>0.45776620370370369</v>
      </c>
      <c r="M34" s="36">
        <v>0.42311342592592593</v>
      </c>
      <c r="N34" s="35">
        <v>0.54109953703703706</v>
      </c>
      <c r="O34" s="37">
        <v>0.11798611111111112</v>
      </c>
      <c r="P34" s="29" t="s">
        <v>225</v>
      </c>
      <c r="Q34" s="29" t="s">
        <v>59</v>
      </c>
      <c r="R34" s="29" t="s">
        <v>225</v>
      </c>
      <c r="S34" s="38" t="s">
        <v>48</v>
      </c>
      <c r="T34" s="39" t="s">
        <v>73</v>
      </c>
      <c r="U34" s="39" t="s">
        <v>59</v>
      </c>
      <c r="V34" s="38" t="s">
        <v>107</v>
      </c>
      <c r="W34" s="40" t="s">
        <v>59</v>
      </c>
      <c r="X34" s="13" t="s">
        <v>59</v>
      </c>
      <c r="Y34" s="13" t="s">
        <v>59</v>
      </c>
      <c r="Z34" s="13" t="s">
        <v>59</v>
      </c>
      <c r="AA34" s="13"/>
      <c r="AB34" s="41"/>
      <c r="AC34" s="16">
        <v>0.65059801761861236</v>
      </c>
      <c r="AD34" s="42"/>
      <c r="AE34" s="42"/>
      <c r="AF34" s="42"/>
      <c r="AG34" s="43"/>
      <c r="AH34" s="43"/>
      <c r="AI34" s="43"/>
      <c r="AJ34" s="17"/>
      <c r="AK34" s="17"/>
      <c r="AL34" s="17">
        <v>22.264631043256994</v>
      </c>
      <c r="AM34" s="17"/>
      <c r="AN34" s="17" t="s">
        <v>59</v>
      </c>
      <c r="AO34" s="44" t="s">
        <v>375</v>
      </c>
    </row>
    <row r="35" spans="1:41" ht="12" customHeight="1" x14ac:dyDescent="0.35">
      <c r="A35" s="29" t="s">
        <v>65</v>
      </c>
      <c r="B35" s="30" t="s">
        <v>327</v>
      </c>
      <c r="C35" s="29">
        <v>60</v>
      </c>
      <c r="D35" s="29" t="s">
        <v>328</v>
      </c>
      <c r="E35" s="31" t="s">
        <v>329</v>
      </c>
      <c r="F35" s="29">
        <v>48503</v>
      </c>
      <c r="G35" s="29" t="s">
        <v>59</v>
      </c>
      <c r="H35" s="32">
        <v>46102</v>
      </c>
      <c r="I35" s="33">
        <v>46102</v>
      </c>
      <c r="J35" s="34" t="s">
        <v>71</v>
      </c>
      <c r="K35" s="35">
        <v>0.14583333333333334</v>
      </c>
      <c r="L35" s="35">
        <v>0.27083333333333331</v>
      </c>
      <c r="M35" s="36">
        <v>0.22916666666666666</v>
      </c>
      <c r="N35" s="35">
        <v>0.35416666666666669</v>
      </c>
      <c r="O35" s="37">
        <f>IF(N35&gt;M35,N35-M35,(N35+1)-M35)</f>
        <v>0.12500000000000003</v>
      </c>
      <c r="P35" s="29" t="s">
        <v>330</v>
      </c>
      <c r="Q35" s="29" t="s">
        <v>59</v>
      </c>
      <c r="R35" s="29" t="s">
        <v>330</v>
      </c>
      <c r="S35" s="38" t="s">
        <v>48</v>
      </c>
      <c r="T35" s="39" t="s">
        <v>73</v>
      </c>
      <c r="U35" s="39" t="s">
        <v>59</v>
      </c>
      <c r="V35" s="38" t="s">
        <v>100</v>
      </c>
      <c r="W35" s="40" t="s">
        <v>59</v>
      </c>
      <c r="X35" s="13" t="s">
        <v>59</v>
      </c>
      <c r="Y35" s="13" t="s">
        <v>59</v>
      </c>
      <c r="Z35" s="13" t="s">
        <v>59</v>
      </c>
      <c r="AA35" s="13" t="s">
        <v>59</v>
      </c>
      <c r="AB35" s="41" t="s">
        <v>59</v>
      </c>
      <c r="AC35" s="16">
        <v>0.67500000000000004</v>
      </c>
      <c r="AD35" s="42" t="s">
        <v>59</v>
      </c>
      <c r="AE35" s="42" t="s">
        <v>59</v>
      </c>
      <c r="AF35" s="42" t="s">
        <v>59</v>
      </c>
      <c r="AG35" s="43" t="s">
        <v>59</v>
      </c>
      <c r="AH35" s="43" t="s">
        <v>59</v>
      </c>
      <c r="AI35" s="43" t="s">
        <v>59</v>
      </c>
      <c r="AJ35" s="17" t="s">
        <v>59</v>
      </c>
      <c r="AK35" s="17" t="s">
        <v>59</v>
      </c>
      <c r="AL35" s="17">
        <v>3</v>
      </c>
      <c r="AM35" s="17" t="s">
        <v>59</v>
      </c>
      <c r="AN35" s="17" t="s">
        <v>59</v>
      </c>
      <c r="AO35" s="44" t="s">
        <v>278</v>
      </c>
    </row>
    <row r="36" spans="1:41" ht="12" customHeight="1" x14ac:dyDescent="0.35">
      <c r="A36" s="29" t="s">
        <v>65</v>
      </c>
      <c r="B36" s="30" t="s">
        <v>340</v>
      </c>
      <c r="C36" s="29">
        <v>274</v>
      </c>
      <c r="D36" s="29" t="s">
        <v>341</v>
      </c>
      <c r="E36" s="31" t="s">
        <v>367</v>
      </c>
      <c r="F36" s="29">
        <v>5434</v>
      </c>
      <c r="G36" s="29" t="s">
        <v>59</v>
      </c>
      <c r="H36" s="32">
        <v>46105</v>
      </c>
      <c r="I36" s="33">
        <v>46105</v>
      </c>
      <c r="J36" s="34" t="s">
        <v>99</v>
      </c>
      <c r="K36" s="35">
        <v>0.83333333333333337</v>
      </c>
      <c r="L36" s="35">
        <v>1.0416666666666666E-2</v>
      </c>
      <c r="M36" s="36">
        <v>0.95833333333333337</v>
      </c>
      <c r="N36" s="35">
        <v>0.13541666666666666</v>
      </c>
      <c r="O36" s="37">
        <f>IF(N36&gt;M36,N36-M36,(N36+1)-M36)</f>
        <v>0.17708333333333337</v>
      </c>
      <c r="P36" s="29" t="s">
        <v>342</v>
      </c>
      <c r="Q36" s="29" t="s">
        <v>343</v>
      </c>
      <c r="R36" s="29" t="s">
        <v>344</v>
      </c>
      <c r="S36" s="38" t="s">
        <v>48</v>
      </c>
      <c r="T36" s="39" t="s">
        <v>73</v>
      </c>
      <c r="U36" s="39" t="s">
        <v>59</v>
      </c>
      <c r="V36" s="38" t="s">
        <v>107</v>
      </c>
      <c r="W36" s="40" t="s">
        <v>59</v>
      </c>
      <c r="X36" s="13" t="s">
        <v>59</v>
      </c>
      <c r="Y36" s="13" t="s">
        <v>59</v>
      </c>
      <c r="Z36" s="13" t="s">
        <v>59</v>
      </c>
      <c r="AA36" s="13" t="s">
        <v>59</v>
      </c>
      <c r="AB36" s="41" t="s">
        <v>59</v>
      </c>
      <c r="AC36" s="16">
        <v>0.76000000000000012</v>
      </c>
      <c r="AD36" s="42" t="s">
        <v>59</v>
      </c>
      <c r="AE36" s="42" t="s">
        <v>59</v>
      </c>
      <c r="AF36" s="42" t="s">
        <v>59</v>
      </c>
      <c r="AG36" s="43" t="s">
        <v>59</v>
      </c>
      <c r="AH36" s="43" t="s">
        <v>59</v>
      </c>
      <c r="AI36" s="43" t="s">
        <v>59</v>
      </c>
      <c r="AJ36" s="17" t="s">
        <v>59</v>
      </c>
      <c r="AK36" s="17" t="s">
        <v>59</v>
      </c>
      <c r="AL36" s="17">
        <v>17.03562340966921</v>
      </c>
      <c r="AM36" s="17" t="s">
        <v>59</v>
      </c>
      <c r="AN36" s="17" t="s">
        <v>59</v>
      </c>
      <c r="AO36" s="44" t="s">
        <v>278</v>
      </c>
    </row>
    <row r="37" spans="1:41" ht="12" customHeight="1" x14ac:dyDescent="0.35">
      <c r="A37" s="29" t="s">
        <v>65</v>
      </c>
      <c r="B37" s="30" t="s">
        <v>340</v>
      </c>
      <c r="C37" s="29">
        <v>274</v>
      </c>
      <c r="D37" s="29" t="s">
        <v>341</v>
      </c>
      <c r="E37" s="31" t="s">
        <v>367</v>
      </c>
      <c r="F37" s="29">
        <v>5434</v>
      </c>
      <c r="G37" s="29" t="s">
        <v>59</v>
      </c>
      <c r="H37" s="32">
        <v>46105</v>
      </c>
      <c r="I37" s="33">
        <v>46105</v>
      </c>
      <c r="J37" s="34" t="s">
        <v>99</v>
      </c>
      <c r="K37" s="35">
        <v>0.625</v>
      </c>
      <c r="L37" s="35">
        <v>0.83333333333333337</v>
      </c>
      <c r="M37" s="36">
        <v>0.75</v>
      </c>
      <c r="N37" s="35">
        <v>0.95833333333333337</v>
      </c>
      <c r="O37" s="37">
        <f>IF(N37&gt;M37,N37-M37,(N37+1)-M37)</f>
        <v>0.20833333333333337</v>
      </c>
      <c r="P37" s="29" t="s">
        <v>353</v>
      </c>
      <c r="Q37" s="29" t="s">
        <v>343</v>
      </c>
      <c r="R37" s="29" t="s">
        <v>354</v>
      </c>
      <c r="S37" s="38" t="s">
        <v>48</v>
      </c>
      <c r="T37" s="39" t="s">
        <v>73</v>
      </c>
      <c r="U37" s="39" t="s">
        <v>59</v>
      </c>
      <c r="V37" s="38" t="s">
        <v>107</v>
      </c>
      <c r="W37" s="40" t="s">
        <v>59</v>
      </c>
      <c r="X37" s="13" t="s">
        <v>59</v>
      </c>
      <c r="Y37" s="13" t="s">
        <v>59</v>
      </c>
      <c r="Z37" s="13" t="s">
        <v>59</v>
      </c>
      <c r="AA37" s="13" t="s">
        <v>59</v>
      </c>
      <c r="AB37" s="41" t="s">
        <v>59</v>
      </c>
      <c r="AC37" s="16">
        <v>0.95000000000000007</v>
      </c>
      <c r="AD37" s="42" t="s">
        <v>59</v>
      </c>
      <c r="AE37" s="42" t="s">
        <v>59</v>
      </c>
      <c r="AF37" s="42" t="s">
        <v>59</v>
      </c>
      <c r="AG37" s="43" t="s">
        <v>59</v>
      </c>
      <c r="AH37" s="43" t="s">
        <v>59</v>
      </c>
      <c r="AI37" s="43" t="s">
        <v>59</v>
      </c>
      <c r="AJ37" s="17" t="s">
        <v>59</v>
      </c>
      <c r="AK37" s="17" t="s">
        <v>59</v>
      </c>
      <c r="AL37" s="17">
        <v>8.5178117048346049</v>
      </c>
      <c r="AM37" s="17" t="s">
        <v>59</v>
      </c>
      <c r="AN37" s="17" t="s">
        <v>59</v>
      </c>
      <c r="AO37" s="44" t="s">
        <v>278</v>
      </c>
    </row>
    <row r="38" spans="1:41" ht="12" customHeight="1" x14ac:dyDescent="0.35">
      <c r="A38" s="29" t="s">
        <v>65</v>
      </c>
      <c r="B38" s="30" t="s">
        <v>340</v>
      </c>
      <c r="C38" s="29">
        <v>274</v>
      </c>
      <c r="D38" s="29" t="s">
        <v>341</v>
      </c>
      <c r="E38" s="31" t="s">
        <v>367</v>
      </c>
      <c r="F38" s="29">
        <v>5434</v>
      </c>
      <c r="G38" s="29" t="s">
        <v>59</v>
      </c>
      <c r="H38" s="32">
        <v>46106</v>
      </c>
      <c r="I38" s="33">
        <v>46106</v>
      </c>
      <c r="J38" s="34" t="s">
        <v>110</v>
      </c>
      <c r="K38" s="35">
        <v>0.75</v>
      </c>
      <c r="L38" s="35">
        <v>0.89583333333333337</v>
      </c>
      <c r="M38" s="36">
        <v>0.875</v>
      </c>
      <c r="N38" s="35">
        <v>2.0833333333333332E-2</v>
      </c>
      <c r="O38" s="37">
        <f>IF(N38&gt;M38,N38-M38,(N38+1)-M38)</f>
        <v>0.14583333333333326</v>
      </c>
      <c r="P38" s="29" t="s">
        <v>347</v>
      </c>
      <c r="Q38" s="29" t="s">
        <v>343</v>
      </c>
      <c r="R38" s="29" t="s">
        <v>348</v>
      </c>
      <c r="S38" s="38" t="s">
        <v>48</v>
      </c>
      <c r="T38" s="39" t="s">
        <v>73</v>
      </c>
      <c r="U38" s="39" t="s">
        <v>59</v>
      </c>
      <c r="V38" s="38" t="s">
        <v>107</v>
      </c>
      <c r="W38" s="40" t="s">
        <v>59</v>
      </c>
      <c r="X38" s="13" t="s">
        <v>59</v>
      </c>
      <c r="Y38" s="13" t="s">
        <v>59</v>
      </c>
      <c r="Z38" s="13" t="s">
        <v>59</v>
      </c>
      <c r="AA38" s="13" t="s">
        <v>59</v>
      </c>
      <c r="AB38" s="41" t="s">
        <v>59</v>
      </c>
      <c r="AC38" s="16">
        <v>0.95000000000000007</v>
      </c>
      <c r="AD38" s="42" t="s">
        <v>59</v>
      </c>
      <c r="AE38" s="42" t="s">
        <v>59</v>
      </c>
      <c r="AF38" s="42" t="s">
        <v>59</v>
      </c>
      <c r="AG38" s="43" t="s">
        <v>59</v>
      </c>
      <c r="AH38" s="43" t="s">
        <v>59</v>
      </c>
      <c r="AI38" s="43" t="s">
        <v>59</v>
      </c>
      <c r="AJ38" s="17" t="s">
        <v>59</v>
      </c>
      <c r="AK38" s="17" t="s">
        <v>59</v>
      </c>
      <c r="AL38" s="17">
        <v>17.03562340966921</v>
      </c>
      <c r="AM38" s="17" t="s">
        <v>59</v>
      </c>
      <c r="AN38" s="17" t="s">
        <v>59</v>
      </c>
      <c r="AO38" s="44" t="s">
        <v>278</v>
      </c>
    </row>
    <row r="39" spans="1:41" ht="12" customHeight="1" x14ac:dyDescent="0.35">
      <c r="A39" s="29" t="s">
        <v>96</v>
      </c>
      <c r="B39" s="30" t="s">
        <v>238</v>
      </c>
      <c r="C39" s="29">
        <v>6</v>
      </c>
      <c r="D39" s="29" t="s">
        <v>98</v>
      </c>
      <c r="E39" s="31" t="s">
        <v>366</v>
      </c>
      <c r="F39" s="29">
        <v>2661</v>
      </c>
      <c r="G39" s="29"/>
      <c r="H39" s="32">
        <v>46102</v>
      </c>
      <c r="I39" s="33">
        <v>46102</v>
      </c>
      <c r="J39" s="34">
        <v>46102</v>
      </c>
      <c r="K39" s="35">
        <v>0.93410879629629628</v>
      </c>
      <c r="L39" s="35">
        <v>0.9754976851851852</v>
      </c>
      <c r="M39" s="36">
        <v>0.97577546296296291</v>
      </c>
      <c r="N39" s="35">
        <v>1.7164351851851851E-2</v>
      </c>
      <c r="O39" s="37">
        <v>4.1388888888888919E-2</v>
      </c>
      <c r="P39" s="29" t="s">
        <v>105</v>
      </c>
      <c r="Q39" s="29" t="s">
        <v>59</v>
      </c>
      <c r="R39" s="29" t="s">
        <v>105</v>
      </c>
      <c r="S39" s="38" t="s">
        <v>49</v>
      </c>
      <c r="T39" s="39" t="s">
        <v>73</v>
      </c>
      <c r="U39" s="39" t="s">
        <v>59</v>
      </c>
      <c r="V39" s="38" t="s">
        <v>104</v>
      </c>
      <c r="W39" s="40" t="s">
        <v>59</v>
      </c>
      <c r="X39" s="13" t="s">
        <v>59</v>
      </c>
      <c r="Y39" s="13" t="s">
        <v>59</v>
      </c>
      <c r="Z39" s="13" t="s">
        <v>59</v>
      </c>
      <c r="AA39" s="13"/>
      <c r="AB39" s="41"/>
      <c r="AC39" s="16">
        <v>1.2</v>
      </c>
      <c r="AD39" s="42"/>
      <c r="AE39" s="42"/>
      <c r="AF39" s="42"/>
      <c r="AG39" s="43"/>
      <c r="AH39" s="43"/>
      <c r="AI39" s="43"/>
      <c r="AJ39" s="17"/>
      <c r="AK39" s="17"/>
      <c r="AL39" s="17">
        <v>4.1479999999999997</v>
      </c>
      <c r="AM39" s="17"/>
      <c r="AN39" s="17" t="s">
        <v>59</v>
      </c>
      <c r="AO39" s="44" t="s">
        <v>373</v>
      </c>
    </row>
    <row r="40" spans="1:41" ht="12" customHeight="1" x14ac:dyDescent="0.35">
      <c r="A40" s="29" t="s">
        <v>271</v>
      </c>
      <c r="B40" s="30" t="s">
        <v>272</v>
      </c>
      <c r="C40" s="29">
        <v>49</v>
      </c>
      <c r="D40" s="29" t="s">
        <v>273</v>
      </c>
      <c r="E40" s="31" t="s">
        <v>274</v>
      </c>
      <c r="F40" s="29">
        <v>38862</v>
      </c>
      <c r="G40" s="29" t="s">
        <v>59</v>
      </c>
      <c r="H40" s="32">
        <v>46101</v>
      </c>
      <c r="I40" s="33">
        <v>46101</v>
      </c>
      <c r="J40" s="34" t="s">
        <v>79</v>
      </c>
      <c r="K40" s="35">
        <v>0.375</v>
      </c>
      <c r="L40" s="35">
        <v>0.66666666666666663</v>
      </c>
      <c r="M40" s="36">
        <v>0.20833333333333334</v>
      </c>
      <c r="N40" s="35">
        <v>0.5</v>
      </c>
      <c r="O40" s="37">
        <f>IF(N40&gt;M40,N40-M40,(N40+1)-M40)</f>
        <v>0.29166666666666663</v>
      </c>
      <c r="P40" s="29" t="s">
        <v>275</v>
      </c>
      <c r="Q40" s="29" t="s">
        <v>276</v>
      </c>
      <c r="R40" s="29" t="s">
        <v>277</v>
      </c>
      <c r="S40" s="38" t="s">
        <v>46</v>
      </c>
      <c r="T40" s="39" t="s">
        <v>73</v>
      </c>
      <c r="U40" s="39" t="s">
        <v>59</v>
      </c>
      <c r="V40" s="38" t="s">
        <v>100</v>
      </c>
      <c r="W40" s="40" t="s">
        <v>59</v>
      </c>
      <c r="X40" s="13" t="s">
        <v>59</v>
      </c>
      <c r="Y40" s="13" t="s">
        <v>59</v>
      </c>
      <c r="Z40" s="13" t="s">
        <v>59</v>
      </c>
      <c r="AA40" s="13" t="s">
        <v>59</v>
      </c>
      <c r="AB40" s="41" t="s">
        <v>59</v>
      </c>
      <c r="AC40" s="16">
        <v>1.2829999999999999</v>
      </c>
      <c r="AD40" s="42" t="s">
        <v>59</v>
      </c>
      <c r="AE40" s="42" t="s">
        <v>59</v>
      </c>
      <c r="AF40" s="42" t="s">
        <v>59</v>
      </c>
      <c r="AG40" s="43" t="s">
        <v>59</v>
      </c>
      <c r="AH40" s="43" t="s">
        <v>59</v>
      </c>
      <c r="AI40" s="43" t="s">
        <v>59</v>
      </c>
      <c r="AJ40" s="17">
        <v>5</v>
      </c>
      <c r="AK40" s="17">
        <v>6.4149999999999991</v>
      </c>
      <c r="AL40" s="17">
        <v>0.21383333333333329</v>
      </c>
      <c r="AM40" s="17" t="s">
        <v>59</v>
      </c>
      <c r="AN40" s="17" t="s">
        <v>59</v>
      </c>
      <c r="AO40" s="44" t="s">
        <v>278</v>
      </c>
    </row>
    <row r="41" spans="1:41" ht="12" customHeight="1" x14ac:dyDescent="0.35">
      <c r="A41" s="29" t="s">
        <v>271</v>
      </c>
      <c r="B41" s="30" t="s">
        <v>272</v>
      </c>
      <c r="C41" s="29">
        <v>49</v>
      </c>
      <c r="D41" s="29" t="s">
        <v>273</v>
      </c>
      <c r="E41" s="31" t="s">
        <v>274</v>
      </c>
      <c r="F41" s="29">
        <v>38862</v>
      </c>
      <c r="G41" s="29" t="s">
        <v>59</v>
      </c>
      <c r="H41" s="32">
        <v>46101</v>
      </c>
      <c r="I41" s="33">
        <v>46101</v>
      </c>
      <c r="J41" s="34" t="s">
        <v>79</v>
      </c>
      <c r="K41" s="35">
        <v>0.72986111111111107</v>
      </c>
      <c r="L41" s="35">
        <v>0.75</v>
      </c>
      <c r="M41" s="36">
        <v>0.56319444444444444</v>
      </c>
      <c r="N41" s="35">
        <v>0.58333333333333337</v>
      </c>
      <c r="O41" s="37">
        <f>IF(N41&gt;M41,N41-M41,(N41+1)-M41)</f>
        <v>2.0138888888888928E-2</v>
      </c>
      <c r="P41" s="29" t="s">
        <v>279</v>
      </c>
      <c r="Q41" s="29" t="s">
        <v>276</v>
      </c>
      <c r="R41" s="29" t="s">
        <v>280</v>
      </c>
      <c r="S41" s="38" t="s">
        <v>46</v>
      </c>
      <c r="T41" s="39" t="s">
        <v>73</v>
      </c>
      <c r="U41" s="39" t="s">
        <v>59</v>
      </c>
      <c r="V41" s="38" t="s">
        <v>100</v>
      </c>
      <c r="W41" s="40" t="s">
        <v>59</v>
      </c>
      <c r="X41" s="13" t="s">
        <v>59</v>
      </c>
      <c r="Y41" s="13" t="s">
        <v>59</v>
      </c>
      <c r="Z41" s="13" t="s">
        <v>59</v>
      </c>
      <c r="AA41" s="13" t="s">
        <v>59</v>
      </c>
      <c r="AB41" s="41" t="s">
        <v>59</v>
      </c>
      <c r="AC41" s="16">
        <v>1.2829999999999999</v>
      </c>
      <c r="AD41" s="42" t="s">
        <v>59</v>
      </c>
      <c r="AE41" s="42" t="s">
        <v>59</v>
      </c>
      <c r="AF41" s="42" t="s">
        <v>59</v>
      </c>
      <c r="AG41" s="43" t="s">
        <v>59</v>
      </c>
      <c r="AH41" s="43" t="s">
        <v>59</v>
      </c>
      <c r="AI41" s="43" t="s">
        <v>59</v>
      </c>
      <c r="AJ41" s="17">
        <v>5</v>
      </c>
      <c r="AK41" s="17">
        <v>6.4149999999999991</v>
      </c>
      <c r="AL41" s="17">
        <v>0.21383333333333329</v>
      </c>
      <c r="AM41" s="17" t="s">
        <v>59</v>
      </c>
      <c r="AN41" s="17" t="s">
        <v>59</v>
      </c>
      <c r="AO41" s="44" t="s">
        <v>278</v>
      </c>
    </row>
    <row r="42" spans="1:41" ht="12" customHeight="1" x14ac:dyDescent="0.35">
      <c r="A42" s="29" t="s">
        <v>271</v>
      </c>
      <c r="B42" s="30" t="s">
        <v>272</v>
      </c>
      <c r="C42" s="29">
        <v>49</v>
      </c>
      <c r="D42" s="29" t="s">
        <v>273</v>
      </c>
      <c r="E42" s="31" t="s">
        <v>274</v>
      </c>
      <c r="F42" s="29">
        <v>38862</v>
      </c>
      <c r="G42" s="29" t="s">
        <v>59</v>
      </c>
      <c r="H42" s="32">
        <v>46102</v>
      </c>
      <c r="I42" s="33">
        <v>46102</v>
      </c>
      <c r="J42" s="34" t="s">
        <v>71</v>
      </c>
      <c r="K42" s="35">
        <v>0.375</v>
      </c>
      <c r="L42" s="35">
        <v>0.40625</v>
      </c>
      <c r="M42" s="36">
        <v>0.20833333333333334</v>
      </c>
      <c r="N42" s="35">
        <v>0.23958333333333334</v>
      </c>
      <c r="O42" s="37">
        <f>IF(N42&gt;M42,N42-M42,(N42+1)-M42)</f>
        <v>3.125E-2</v>
      </c>
      <c r="P42" s="29" t="s">
        <v>281</v>
      </c>
      <c r="Q42" s="29" t="s">
        <v>282</v>
      </c>
      <c r="R42" s="29" t="s">
        <v>283</v>
      </c>
      <c r="S42" s="38" t="s">
        <v>46</v>
      </c>
      <c r="T42" s="39" t="s">
        <v>73</v>
      </c>
      <c r="U42" s="39" t="s">
        <v>59</v>
      </c>
      <c r="V42" s="38" t="s">
        <v>104</v>
      </c>
      <c r="W42" s="40" t="s">
        <v>59</v>
      </c>
      <c r="X42" s="13" t="s">
        <v>59</v>
      </c>
      <c r="Y42" s="13" t="s">
        <v>59</v>
      </c>
      <c r="Z42" s="13" t="s">
        <v>59</v>
      </c>
      <c r="AA42" s="13" t="s">
        <v>59</v>
      </c>
      <c r="AB42" s="41" t="s">
        <v>59</v>
      </c>
      <c r="AC42" s="16">
        <v>1.2829999999999999</v>
      </c>
      <c r="AD42" s="42" t="s">
        <v>59</v>
      </c>
      <c r="AE42" s="42" t="s">
        <v>59</v>
      </c>
      <c r="AF42" s="42" t="s">
        <v>59</v>
      </c>
      <c r="AG42" s="43" t="s">
        <v>59</v>
      </c>
      <c r="AH42" s="43" t="s">
        <v>59</v>
      </c>
      <c r="AI42" s="43" t="s">
        <v>59</v>
      </c>
      <c r="AJ42" s="17">
        <v>5</v>
      </c>
      <c r="AK42" s="17">
        <v>6.4149999999999991</v>
      </c>
      <c r="AL42" s="17">
        <v>0.21383333333333329</v>
      </c>
      <c r="AM42" s="17" t="s">
        <v>59</v>
      </c>
      <c r="AN42" s="17" t="s">
        <v>59</v>
      </c>
      <c r="AO42" s="44" t="s">
        <v>278</v>
      </c>
    </row>
    <row r="43" spans="1:41" ht="12" customHeight="1" x14ac:dyDescent="0.35">
      <c r="A43" s="29" t="s">
        <v>271</v>
      </c>
      <c r="B43" s="30" t="s">
        <v>272</v>
      </c>
      <c r="C43" s="29">
        <v>49</v>
      </c>
      <c r="D43" s="29" t="s">
        <v>273</v>
      </c>
      <c r="E43" s="31" t="s">
        <v>274</v>
      </c>
      <c r="F43" s="29">
        <v>38862</v>
      </c>
      <c r="G43" s="29" t="s">
        <v>59</v>
      </c>
      <c r="H43" s="32">
        <v>46102</v>
      </c>
      <c r="I43" s="33">
        <v>46102</v>
      </c>
      <c r="J43" s="34" t="s">
        <v>71</v>
      </c>
      <c r="K43" s="35">
        <v>0.72916666666666663</v>
      </c>
      <c r="L43" s="35">
        <v>0.72986111111111107</v>
      </c>
      <c r="M43" s="36">
        <v>0.5625</v>
      </c>
      <c r="N43" s="35">
        <v>0.56319444444444444</v>
      </c>
      <c r="O43" s="37">
        <f>IF(N43&gt;M43,N43-M43,(N43+1)-M43)</f>
        <v>6.9444444444444198E-4</v>
      </c>
      <c r="P43" s="29" t="s">
        <v>284</v>
      </c>
      <c r="Q43" s="29" t="s">
        <v>282</v>
      </c>
      <c r="R43" s="29" t="s">
        <v>285</v>
      </c>
      <c r="S43" s="38" t="s">
        <v>46</v>
      </c>
      <c r="T43" s="39" t="s">
        <v>73</v>
      </c>
      <c r="U43" s="39" t="s">
        <v>59</v>
      </c>
      <c r="V43" s="38" t="s">
        <v>104</v>
      </c>
      <c r="W43" s="40" t="s">
        <v>59</v>
      </c>
      <c r="X43" s="13" t="s">
        <v>59</v>
      </c>
      <c r="Y43" s="13" t="s">
        <v>59</v>
      </c>
      <c r="Z43" s="13" t="s">
        <v>59</v>
      </c>
      <c r="AA43" s="13" t="s">
        <v>59</v>
      </c>
      <c r="AB43" s="41" t="s">
        <v>59</v>
      </c>
      <c r="AC43" s="16">
        <v>1.2829999999999999</v>
      </c>
      <c r="AD43" s="42" t="s">
        <v>59</v>
      </c>
      <c r="AE43" s="42" t="s">
        <v>59</v>
      </c>
      <c r="AF43" s="42" t="s">
        <v>59</v>
      </c>
      <c r="AG43" s="43" t="s">
        <v>59</v>
      </c>
      <c r="AH43" s="43" t="s">
        <v>59</v>
      </c>
      <c r="AI43" s="43" t="s">
        <v>59</v>
      </c>
      <c r="AJ43" s="17">
        <v>5</v>
      </c>
      <c r="AK43" s="17">
        <v>6.4149999999999991</v>
      </c>
      <c r="AL43" s="17">
        <v>0.21383333333333329</v>
      </c>
      <c r="AM43" s="17" t="s">
        <v>59</v>
      </c>
      <c r="AN43" s="17" t="s">
        <v>59</v>
      </c>
      <c r="AO43" s="44" t="s">
        <v>278</v>
      </c>
    </row>
    <row r="44" spans="1:41" ht="12" customHeight="1" x14ac:dyDescent="0.35">
      <c r="A44" s="29" t="s">
        <v>271</v>
      </c>
      <c r="B44" s="30" t="s">
        <v>272</v>
      </c>
      <c r="C44" s="29">
        <v>49</v>
      </c>
      <c r="D44" s="29" t="s">
        <v>273</v>
      </c>
      <c r="E44" s="31" t="s">
        <v>274</v>
      </c>
      <c r="F44" s="29">
        <v>38862</v>
      </c>
      <c r="G44" s="29" t="s">
        <v>59</v>
      </c>
      <c r="H44" s="32">
        <v>46103</v>
      </c>
      <c r="I44" s="33">
        <v>46103</v>
      </c>
      <c r="J44" s="34" t="s">
        <v>74</v>
      </c>
      <c r="K44" s="35">
        <v>0.375</v>
      </c>
      <c r="L44" s="35">
        <v>0.40625</v>
      </c>
      <c r="M44" s="36">
        <v>0.20833333333333334</v>
      </c>
      <c r="N44" s="35">
        <v>0.23958333333333334</v>
      </c>
      <c r="O44" s="37">
        <f>IF(N44&gt;M44,N44-M44,(N44+1)-M44)</f>
        <v>3.125E-2</v>
      </c>
      <c r="P44" s="29" t="s">
        <v>286</v>
      </c>
      <c r="Q44" s="29" t="s">
        <v>287</v>
      </c>
      <c r="R44" s="29" t="s">
        <v>288</v>
      </c>
      <c r="S44" s="38" t="s">
        <v>46</v>
      </c>
      <c r="T44" s="39" t="s">
        <v>73</v>
      </c>
      <c r="U44" s="39" t="s">
        <v>59</v>
      </c>
      <c r="V44" s="38" t="s">
        <v>107</v>
      </c>
      <c r="W44" s="40" t="s">
        <v>59</v>
      </c>
      <c r="X44" s="13" t="s">
        <v>59</v>
      </c>
      <c r="Y44" s="13" t="s">
        <v>59</v>
      </c>
      <c r="Z44" s="13" t="s">
        <v>59</v>
      </c>
      <c r="AA44" s="13" t="s">
        <v>59</v>
      </c>
      <c r="AB44" s="41" t="s">
        <v>59</v>
      </c>
      <c r="AC44" s="16">
        <v>1.2829999999999999</v>
      </c>
      <c r="AD44" s="42" t="s">
        <v>59</v>
      </c>
      <c r="AE44" s="42" t="s">
        <v>59</v>
      </c>
      <c r="AF44" s="42" t="s">
        <v>59</v>
      </c>
      <c r="AG44" s="43" t="s">
        <v>59</v>
      </c>
      <c r="AH44" s="43" t="s">
        <v>59</v>
      </c>
      <c r="AI44" s="43" t="s">
        <v>59</v>
      </c>
      <c r="AJ44" s="17">
        <v>5</v>
      </c>
      <c r="AK44" s="17">
        <v>6.4149999999999991</v>
      </c>
      <c r="AL44" s="17">
        <v>0.21383333333333329</v>
      </c>
      <c r="AM44" s="17" t="s">
        <v>59</v>
      </c>
      <c r="AN44" s="17" t="s">
        <v>59</v>
      </c>
      <c r="AO44" s="44" t="s">
        <v>278</v>
      </c>
    </row>
    <row r="45" spans="1:41" ht="12" customHeight="1" x14ac:dyDescent="0.35">
      <c r="A45" s="29" t="s">
        <v>271</v>
      </c>
      <c r="B45" s="30" t="s">
        <v>272</v>
      </c>
      <c r="C45" s="29">
        <v>49</v>
      </c>
      <c r="D45" s="29" t="s">
        <v>273</v>
      </c>
      <c r="E45" s="31" t="s">
        <v>274</v>
      </c>
      <c r="F45" s="29">
        <v>38862</v>
      </c>
      <c r="G45" s="29" t="s">
        <v>59</v>
      </c>
      <c r="H45" s="32">
        <v>46103</v>
      </c>
      <c r="I45" s="33">
        <v>46103</v>
      </c>
      <c r="J45" s="34" t="s">
        <v>74</v>
      </c>
      <c r="K45" s="35">
        <v>0.69097222222222221</v>
      </c>
      <c r="L45" s="35">
        <v>0.79166666666666663</v>
      </c>
      <c r="M45" s="36">
        <v>0.52430555555555558</v>
      </c>
      <c r="N45" s="35">
        <v>0.625</v>
      </c>
      <c r="O45" s="37">
        <f>IF(N45&gt;M45,N45-M45,(N45+1)-M45)</f>
        <v>0.10069444444444442</v>
      </c>
      <c r="P45" s="29" t="s">
        <v>289</v>
      </c>
      <c r="Q45" s="29" t="s">
        <v>287</v>
      </c>
      <c r="R45" s="29" t="s">
        <v>290</v>
      </c>
      <c r="S45" s="38" t="s">
        <v>46</v>
      </c>
      <c r="T45" s="39" t="s">
        <v>73</v>
      </c>
      <c r="U45" s="39" t="s">
        <v>59</v>
      </c>
      <c r="V45" s="38" t="s">
        <v>107</v>
      </c>
      <c r="W45" s="40" t="s">
        <v>59</v>
      </c>
      <c r="X45" s="13" t="s">
        <v>59</v>
      </c>
      <c r="Y45" s="13" t="s">
        <v>59</v>
      </c>
      <c r="Z45" s="13" t="s">
        <v>59</v>
      </c>
      <c r="AA45" s="13" t="s">
        <v>59</v>
      </c>
      <c r="AB45" s="41" t="s">
        <v>59</v>
      </c>
      <c r="AC45" s="16">
        <v>1.2829999999999999</v>
      </c>
      <c r="AD45" s="42" t="s">
        <v>59</v>
      </c>
      <c r="AE45" s="42" t="s">
        <v>59</v>
      </c>
      <c r="AF45" s="42" t="s">
        <v>59</v>
      </c>
      <c r="AG45" s="43" t="s">
        <v>59</v>
      </c>
      <c r="AH45" s="43" t="s">
        <v>59</v>
      </c>
      <c r="AI45" s="43" t="s">
        <v>59</v>
      </c>
      <c r="AJ45" s="17">
        <v>5</v>
      </c>
      <c r="AK45" s="17">
        <v>6.4149999999999991</v>
      </c>
      <c r="AL45" s="17">
        <v>0.21383333333333329</v>
      </c>
      <c r="AM45" s="17" t="s">
        <v>59</v>
      </c>
      <c r="AN45" s="17" t="s">
        <v>59</v>
      </c>
      <c r="AO45" s="44" t="s">
        <v>278</v>
      </c>
    </row>
    <row r="46" spans="1:41" ht="12" customHeight="1" x14ac:dyDescent="0.35">
      <c r="A46" s="29" t="s">
        <v>96</v>
      </c>
      <c r="B46" s="30" t="s">
        <v>238</v>
      </c>
      <c r="C46" s="29">
        <v>6</v>
      </c>
      <c r="D46" s="29" t="s">
        <v>98</v>
      </c>
      <c r="E46" s="31" t="s">
        <v>366</v>
      </c>
      <c r="F46" s="29">
        <v>2661</v>
      </c>
      <c r="G46" s="29"/>
      <c r="H46" s="32">
        <v>46102</v>
      </c>
      <c r="I46" s="33">
        <v>46102</v>
      </c>
      <c r="J46" s="34">
        <v>46102</v>
      </c>
      <c r="K46" s="35">
        <v>0.375</v>
      </c>
      <c r="L46" s="35">
        <v>0.54303240740740744</v>
      </c>
      <c r="M46" s="36">
        <v>0.41666666666666669</v>
      </c>
      <c r="N46" s="35">
        <v>0.58469907407407407</v>
      </c>
      <c r="O46" s="37">
        <v>0.16803240740740738</v>
      </c>
      <c r="P46" s="29" t="s">
        <v>103</v>
      </c>
      <c r="Q46" s="29" t="s">
        <v>59</v>
      </c>
      <c r="R46" s="29" t="s">
        <v>103</v>
      </c>
      <c r="S46" s="38" t="s">
        <v>46</v>
      </c>
      <c r="T46" s="39" t="s">
        <v>73</v>
      </c>
      <c r="U46" s="39" t="s">
        <v>59</v>
      </c>
      <c r="V46" s="38" t="s">
        <v>104</v>
      </c>
      <c r="W46" s="40" t="s">
        <v>59</v>
      </c>
      <c r="X46" s="13" t="s">
        <v>59</v>
      </c>
      <c r="Y46" s="13" t="s">
        <v>59</v>
      </c>
      <c r="Z46" s="13" t="s">
        <v>59</v>
      </c>
      <c r="AA46" s="13"/>
      <c r="AB46" s="41"/>
      <c r="AC46" s="16">
        <v>1.45</v>
      </c>
      <c r="AD46" s="42"/>
      <c r="AE46" s="42"/>
      <c r="AF46" s="42"/>
      <c r="AG46" s="43"/>
      <c r="AH46" s="43"/>
      <c r="AI46" s="43"/>
      <c r="AJ46" s="17"/>
      <c r="AK46" s="17"/>
      <c r="AL46" s="17">
        <v>4.9775999999999998</v>
      </c>
      <c r="AM46" s="17"/>
      <c r="AN46" s="17" t="s">
        <v>59</v>
      </c>
      <c r="AO46" s="44" t="s">
        <v>373</v>
      </c>
    </row>
    <row r="47" spans="1:41" ht="12" customHeight="1" x14ac:dyDescent="0.35">
      <c r="A47" s="29" t="s">
        <v>96</v>
      </c>
      <c r="B47" s="30" t="s">
        <v>238</v>
      </c>
      <c r="C47" s="29">
        <v>6</v>
      </c>
      <c r="D47" s="29" t="s">
        <v>98</v>
      </c>
      <c r="E47" s="31" t="s">
        <v>366</v>
      </c>
      <c r="F47" s="29">
        <v>2661</v>
      </c>
      <c r="G47" s="29"/>
      <c r="H47" s="32">
        <v>46101</v>
      </c>
      <c r="I47" s="33">
        <v>46101</v>
      </c>
      <c r="J47" s="34">
        <v>46101</v>
      </c>
      <c r="K47" s="35">
        <v>0.95199074074074075</v>
      </c>
      <c r="L47" s="35">
        <v>0.99409722222222219</v>
      </c>
      <c r="M47" s="36">
        <v>0.99365740740740738</v>
      </c>
      <c r="N47" s="35">
        <v>3.5763888888888887E-2</v>
      </c>
      <c r="O47" s="37">
        <v>4.210648148148155E-2</v>
      </c>
      <c r="P47" s="29" t="s">
        <v>102</v>
      </c>
      <c r="Q47" s="29" t="s">
        <v>59</v>
      </c>
      <c r="R47" s="29" t="s">
        <v>102</v>
      </c>
      <c r="S47" s="38" t="s">
        <v>48</v>
      </c>
      <c r="T47" s="39" t="s">
        <v>73</v>
      </c>
      <c r="U47" s="39" t="s">
        <v>59</v>
      </c>
      <c r="V47" s="38" t="s">
        <v>100</v>
      </c>
      <c r="W47" s="40" t="s">
        <v>59</v>
      </c>
      <c r="X47" s="13" t="s">
        <v>59</v>
      </c>
      <c r="Y47" s="13" t="s">
        <v>59</v>
      </c>
      <c r="Z47" s="13" t="s">
        <v>59</v>
      </c>
      <c r="AA47" s="13"/>
      <c r="AB47" s="41"/>
      <c r="AC47" s="16">
        <v>1.65</v>
      </c>
      <c r="AD47" s="42"/>
      <c r="AE47" s="42"/>
      <c r="AF47" s="42"/>
      <c r="AG47" s="43"/>
      <c r="AH47" s="43"/>
      <c r="AI47" s="43"/>
      <c r="AJ47" s="17"/>
      <c r="AK47" s="17"/>
      <c r="AL47" s="17">
        <v>3.4566666666666666</v>
      </c>
      <c r="AM47" s="17"/>
      <c r="AN47" s="17" t="s">
        <v>59</v>
      </c>
      <c r="AO47" s="44" t="s">
        <v>373</v>
      </c>
    </row>
    <row r="48" spans="1:41" ht="12" customHeight="1" x14ac:dyDescent="0.35">
      <c r="A48" s="29" t="s">
        <v>65</v>
      </c>
      <c r="B48" s="30" t="s">
        <v>310</v>
      </c>
      <c r="C48" s="29">
        <v>21</v>
      </c>
      <c r="D48" s="29" t="s">
        <v>311</v>
      </c>
      <c r="E48" s="31" t="s">
        <v>312</v>
      </c>
      <c r="F48" s="29">
        <v>1046</v>
      </c>
      <c r="G48" s="29" t="s">
        <v>59</v>
      </c>
      <c r="H48" s="32">
        <v>46101</v>
      </c>
      <c r="I48" s="33">
        <v>46101</v>
      </c>
      <c r="J48" s="34" t="s">
        <v>79</v>
      </c>
      <c r="K48" s="35">
        <v>0.375</v>
      </c>
      <c r="L48" s="35">
        <v>0.54166666666666663</v>
      </c>
      <c r="M48" s="36">
        <v>0.45833333333333331</v>
      </c>
      <c r="N48" s="35">
        <v>0.625</v>
      </c>
      <c r="O48" s="37">
        <f>IF(N48&gt;M48,N48-M48,(N48+1)-M48)</f>
        <v>0.16666666666666669</v>
      </c>
      <c r="P48" s="29" t="s">
        <v>313</v>
      </c>
      <c r="Q48" s="29" t="s">
        <v>59</v>
      </c>
      <c r="R48" s="29" t="s">
        <v>313</v>
      </c>
      <c r="S48" s="38" t="s">
        <v>46</v>
      </c>
      <c r="T48" s="39" t="s">
        <v>73</v>
      </c>
      <c r="U48" s="39" t="s">
        <v>59</v>
      </c>
      <c r="V48" s="38" t="s">
        <v>100</v>
      </c>
      <c r="W48" s="40" t="s">
        <v>59</v>
      </c>
      <c r="X48" s="13" t="s">
        <v>59</v>
      </c>
      <c r="Y48" s="13" t="s">
        <v>59</v>
      </c>
      <c r="Z48" s="13" t="s">
        <v>59</v>
      </c>
      <c r="AA48" s="13" t="s">
        <v>59</v>
      </c>
      <c r="AB48" s="41" t="s">
        <v>59</v>
      </c>
      <c r="AC48" s="16">
        <v>1.6672500000000001</v>
      </c>
      <c r="AD48" s="42" t="s">
        <v>59</v>
      </c>
      <c r="AE48" s="42" t="s">
        <v>59</v>
      </c>
      <c r="AF48" s="42" t="s">
        <v>59</v>
      </c>
      <c r="AG48" s="43" t="s">
        <v>59</v>
      </c>
      <c r="AH48" s="43" t="s">
        <v>59</v>
      </c>
      <c r="AI48" s="43" t="s">
        <v>59</v>
      </c>
      <c r="AJ48" s="17" t="s">
        <v>59</v>
      </c>
      <c r="AK48" s="17" t="s">
        <v>59</v>
      </c>
      <c r="AL48" s="17">
        <v>5.9314961832061064</v>
      </c>
      <c r="AM48" s="17" t="s">
        <v>59</v>
      </c>
      <c r="AN48" s="17" t="s">
        <v>59</v>
      </c>
      <c r="AO48" s="44" t="s">
        <v>278</v>
      </c>
    </row>
    <row r="49" spans="1:41" ht="12" customHeight="1" x14ac:dyDescent="0.35">
      <c r="A49" s="29" t="s">
        <v>65</v>
      </c>
      <c r="B49" s="30" t="s">
        <v>327</v>
      </c>
      <c r="C49" s="29">
        <v>60</v>
      </c>
      <c r="D49" s="29" t="s">
        <v>66</v>
      </c>
      <c r="E49" s="31" t="s">
        <v>377</v>
      </c>
      <c r="F49" s="29">
        <v>33619</v>
      </c>
      <c r="G49" s="29"/>
      <c r="H49" s="32">
        <v>46102</v>
      </c>
      <c r="I49" s="33">
        <v>46102</v>
      </c>
      <c r="J49" s="34">
        <v>46102</v>
      </c>
      <c r="K49" s="35">
        <v>0.20831018518518518</v>
      </c>
      <c r="L49" s="35">
        <v>0.29574074074074075</v>
      </c>
      <c r="M49" s="36">
        <v>0.2916435185185185</v>
      </c>
      <c r="N49" s="35">
        <v>0.37907407407407406</v>
      </c>
      <c r="O49" s="37">
        <v>8.7430555555555567E-2</v>
      </c>
      <c r="P49" s="29" t="s">
        <v>225</v>
      </c>
      <c r="Q49" s="29" t="s">
        <v>59</v>
      </c>
      <c r="R49" s="29" t="s">
        <v>225</v>
      </c>
      <c r="S49" s="38" t="s">
        <v>48</v>
      </c>
      <c r="T49" s="39" t="s">
        <v>73</v>
      </c>
      <c r="U49" s="39" t="s">
        <v>59</v>
      </c>
      <c r="V49" s="38" t="s">
        <v>100</v>
      </c>
      <c r="W49" s="40" t="s">
        <v>59</v>
      </c>
      <c r="X49" s="13" t="s">
        <v>59</v>
      </c>
      <c r="Y49" s="13" t="s">
        <v>59</v>
      </c>
      <c r="Z49" s="13" t="s">
        <v>59</v>
      </c>
      <c r="AA49" s="13"/>
      <c r="AB49" s="41"/>
      <c r="AC49" s="16">
        <v>1.7078197962488573</v>
      </c>
      <c r="AD49" s="42"/>
      <c r="AE49" s="42"/>
      <c r="AF49" s="42"/>
      <c r="AG49" s="43"/>
      <c r="AH49" s="43"/>
      <c r="AI49" s="43"/>
      <c r="AJ49" s="17"/>
      <c r="AK49" s="17"/>
      <c r="AL49" s="17">
        <v>26.717557251908392</v>
      </c>
      <c r="AM49" s="17"/>
      <c r="AN49" s="17" t="s">
        <v>59</v>
      </c>
      <c r="AO49" s="44" t="s">
        <v>375</v>
      </c>
    </row>
    <row r="50" spans="1:41" ht="12" customHeight="1" x14ac:dyDescent="0.35">
      <c r="A50" s="29" t="s">
        <v>65</v>
      </c>
      <c r="B50" s="30" t="s">
        <v>327</v>
      </c>
      <c r="C50" s="29">
        <v>60</v>
      </c>
      <c r="D50" s="29" t="s">
        <v>66</v>
      </c>
      <c r="E50" s="31" t="s">
        <v>377</v>
      </c>
      <c r="F50" s="29">
        <v>33619</v>
      </c>
      <c r="G50" s="29"/>
      <c r="H50" s="32">
        <v>46103</v>
      </c>
      <c r="I50" s="33">
        <v>46103</v>
      </c>
      <c r="J50" s="34">
        <v>46103</v>
      </c>
      <c r="K50" s="35">
        <v>0.26416666666666666</v>
      </c>
      <c r="L50" s="35">
        <v>0.27118055555555554</v>
      </c>
      <c r="M50" s="36">
        <v>0.34749999999999998</v>
      </c>
      <c r="N50" s="35">
        <v>0.35451388888888891</v>
      </c>
      <c r="O50" s="37">
        <v>7.0138888888889306E-3</v>
      </c>
      <c r="P50" s="29" t="s">
        <v>225</v>
      </c>
      <c r="Q50" s="29" t="s">
        <v>59</v>
      </c>
      <c r="R50" s="29" t="s">
        <v>225</v>
      </c>
      <c r="S50" s="38" t="s">
        <v>49</v>
      </c>
      <c r="T50" s="39" t="s">
        <v>73</v>
      </c>
      <c r="U50" s="39" t="s">
        <v>59</v>
      </c>
      <c r="V50" s="38" t="s">
        <v>104</v>
      </c>
      <c r="W50" s="40" t="s">
        <v>59</v>
      </c>
      <c r="X50" s="13" t="s">
        <v>59</v>
      </c>
      <c r="Y50" s="13" t="s">
        <v>59</v>
      </c>
      <c r="Z50" s="13" t="s">
        <v>59</v>
      </c>
      <c r="AA50" s="13"/>
      <c r="AB50" s="41"/>
      <c r="AC50" s="16">
        <v>1.7078197962488573</v>
      </c>
      <c r="AD50" s="42"/>
      <c r="AE50" s="42"/>
      <c r="AF50" s="42"/>
      <c r="AG50" s="43"/>
      <c r="AH50" s="43"/>
      <c r="AI50" s="43"/>
      <c r="AJ50" s="17"/>
      <c r="AK50" s="17"/>
      <c r="AL50" s="17">
        <v>26.717557251908392</v>
      </c>
      <c r="AM50" s="17"/>
      <c r="AN50" s="17" t="s">
        <v>59</v>
      </c>
      <c r="AO50" s="44" t="s">
        <v>375</v>
      </c>
    </row>
    <row r="51" spans="1:41" ht="12" customHeight="1" x14ac:dyDescent="0.35">
      <c r="A51" s="29" t="s">
        <v>65</v>
      </c>
      <c r="B51" s="30" t="s">
        <v>310</v>
      </c>
      <c r="C51" s="29">
        <v>21</v>
      </c>
      <c r="D51" s="29" t="s">
        <v>311</v>
      </c>
      <c r="E51" s="31" t="s">
        <v>312</v>
      </c>
      <c r="F51" s="29">
        <v>1046</v>
      </c>
      <c r="G51" s="29" t="s">
        <v>59</v>
      </c>
      <c r="H51" s="32">
        <v>46102</v>
      </c>
      <c r="I51" s="33">
        <v>46102</v>
      </c>
      <c r="J51" s="34" t="s">
        <v>71</v>
      </c>
      <c r="K51" s="35">
        <v>0.375</v>
      </c>
      <c r="L51" s="35">
        <v>0.54513888888888884</v>
      </c>
      <c r="M51" s="36">
        <v>0.45833333333333331</v>
      </c>
      <c r="N51" s="35">
        <v>0.62847222222222221</v>
      </c>
      <c r="O51" s="37">
        <f>IF(N51&gt;M51,N51-M51,(N51+1)-M51)</f>
        <v>0.1701388888888889</v>
      </c>
      <c r="P51" s="29" t="s">
        <v>313</v>
      </c>
      <c r="Q51" s="29" t="s">
        <v>59</v>
      </c>
      <c r="R51" s="29" t="s">
        <v>313</v>
      </c>
      <c r="S51" s="38" t="s">
        <v>46</v>
      </c>
      <c r="T51" s="39" t="s">
        <v>73</v>
      </c>
      <c r="U51" s="39" t="s">
        <v>59</v>
      </c>
      <c r="V51" s="38" t="s">
        <v>104</v>
      </c>
      <c r="W51" s="40" t="s">
        <v>59</v>
      </c>
      <c r="X51" s="13" t="s">
        <v>59</v>
      </c>
      <c r="Y51" s="13" t="s">
        <v>59</v>
      </c>
      <c r="Z51" s="13" t="s">
        <v>59</v>
      </c>
      <c r="AA51" s="13" t="s">
        <v>59</v>
      </c>
      <c r="AB51" s="41" t="s">
        <v>59</v>
      </c>
      <c r="AC51" s="16">
        <v>1.7550000000000001</v>
      </c>
      <c r="AD51" s="42" t="s">
        <v>59</v>
      </c>
      <c r="AE51" s="42" t="s">
        <v>59</v>
      </c>
      <c r="AF51" s="42" t="s">
        <v>59</v>
      </c>
      <c r="AG51" s="43" t="s">
        <v>59</v>
      </c>
      <c r="AH51" s="43" t="s">
        <v>59</v>
      </c>
      <c r="AI51" s="43" t="s">
        <v>59</v>
      </c>
      <c r="AJ51" s="17" t="s">
        <v>59</v>
      </c>
      <c r="AK51" s="17" t="s">
        <v>59</v>
      </c>
      <c r="AL51" s="17">
        <v>7.1177954198473277</v>
      </c>
      <c r="AM51" s="17" t="s">
        <v>59</v>
      </c>
      <c r="AN51" s="17" t="s">
        <v>59</v>
      </c>
      <c r="AO51" s="44" t="s">
        <v>278</v>
      </c>
    </row>
    <row r="52" spans="1:41" ht="12" customHeight="1" x14ac:dyDescent="0.35">
      <c r="A52" s="29" t="s">
        <v>96</v>
      </c>
      <c r="B52" s="30" t="s">
        <v>238</v>
      </c>
      <c r="C52" s="29">
        <v>6</v>
      </c>
      <c r="D52" s="29" t="s">
        <v>98</v>
      </c>
      <c r="E52" s="31" t="s">
        <v>366</v>
      </c>
      <c r="F52" s="29">
        <v>2661</v>
      </c>
      <c r="G52" s="29"/>
      <c r="H52" s="32">
        <v>46101</v>
      </c>
      <c r="I52" s="33">
        <v>46101</v>
      </c>
      <c r="J52" s="34">
        <v>46101</v>
      </c>
      <c r="K52" s="35">
        <v>0.375</v>
      </c>
      <c r="L52" s="35">
        <v>0.54292824074074075</v>
      </c>
      <c r="M52" s="36">
        <v>0.41666666666666669</v>
      </c>
      <c r="N52" s="35">
        <v>0.58459490740740738</v>
      </c>
      <c r="O52" s="37">
        <v>0.1679282407407407</v>
      </c>
      <c r="P52" s="29" t="s">
        <v>101</v>
      </c>
      <c r="Q52" s="29" t="s">
        <v>59</v>
      </c>
      <c r="R52" s="29" t="s">
        <v>101</v>
      </c>
      <c r="S52" s="38" t="s">
        <v>46</v>
      </c>
      <c r="T52" s="39" t="s">
        <v>73</v>
      </c>
      <c r="U52" s="39" t="s">
        <v>59</v>
      </c>
      <c r="V52" s="38" t="s">
        <v>100</v>
      </c>
      <c r="W52" s="40" t="s">
        <v>59</v>
      </c>
      <c r="X52" s="13" t="s">
        <v>59</v>
      </c>
      <c r="Y52" s="13" t="s">
        <v>59</v>
      </c>
      <c r="Z52" s="13" t="s">
        <v>59</v>
      </c>
      <c r="AA52" s="13"/>
      <c r="AB52" s="41"/>
      <c r="AC52" s="16">
        <v>1.85</v>
      </c>
      <c r="AD52" s="42"/>
      <c r="AE52" s="42"/>
      <c r="AF52" s="42"/>
      <c r="AG52" s="43"/>
      <c r="AH52" s="43"/>
      <c r="AI52" s="43"/>
      <c r="AJ52" s="17"/>
      <c r="AK52" s="17"/>
      <c r="AL52" s="17">
        <v>4.1479999999999997</v>
      </c>
      <c r="AM52" s="17"/>
      <c r="AN52" s="17" t="s">
        <v>59</v>
      </c>
      <c r="AO52" s="44" t="s">
        <v>373</v>
      </c>
    </row>
    <row r="53" spans="1:41" ht="12" customHeight="1" x14ac:dyDescent="0.35">
      <c r="A53" s="29" t="s">
        <v>96</v>
      </c>
      <c r="B53" s="30" t="s">
        <v>238</v>
      </c>
      <c r="C53" s="29">
        <v>6</v>
      </c>
      <c r="D53" s="29" t="s">
        <v>98</v>
      </c>
      <c r="E53" s="31" t="s">
        <v>366</v>
      </c>
      <c r="F53" s="29">
        <v>2661</v>
      </c>
      <c r="G53" s="29"/>
      <c r="H53" s="32">
        <v>46103</v>
      </c>
      <c r="I53" s="33">
        <v>46103</v>
      </c>
      <c r="J53" s="34">
        <v>46103</v>
      </c>
      <c r="K53" s="35">
        <v>0.375</v>
      </c>
      <c r="L53" s="35">
        <v>0.54567129629629629</v>
      </c>
      <c r="M53" s="36">
        <v>0.41666666666666669</v>
      </c>
      <c r="N53" s="35">
        <v>0.58733796296296292</v>
      </c>
      <c r="O53" s="37">
        <v>0.17067129629629624</v>
      </c>
      <c r="P53" s="29" t="s">
        <v>106</v>
      </c>
      <c r="Q53" s="29" t="s">
        <v>59</v>
      </c>
      <c r="R53" s="29" t="s">
        <v>106</v>
      </c>
      <c r="S53" s="38" t="s">
        <v>46</v>
      </c>
      <c r="T53" s="39" t="s">
        <v>73</v>
      </c>
      <c r="U53" s="39" t="s">
        <v>59</v>
      </c>
      <c r="V53" s="38" t="s">
        <v>107</v>
      </c>
      <c r="W53" s="40" t="s">
        <v>59</v>
      </c>
      <c r="X53" s="13" t="s">
        <v>59</v>
      </c>
      <c r="Y53" s="13" t="s">
        <v>59</v>
      </c>
      <c r="Z53" s="13" t="s">
        <v>59</v>
      </c>
      <c r="AA53" s="13"/>
      <c r="AB53" s="41"/>
      <c r="AC53" s="16">
        <v>2.2999999999999998</v>
      </c>
      <c r="AD53" s="42"/>
      <c r="AE53" s="42"/>
      <c r="AF53" s="42"/>
      <c r="AG53" s="43"/>
      <c r="AH53" s="43"/>
      <c r="AI53" s="43"/>
      <c r="AJ53" s="17"/>
      <c r="AK53" s="17"/>
      <c r="AL53" s="17">
        <v>4.9775999999999998</v>
      </c>
      <c r="AM53" s="17"/>
      <c r="AN53" s="17" t="s">
        <v>59</v>
      </c>
      <c r="AO53" s="44" t="s">
        <v>373</v>
      </c>
    </row>
    <row r="54" spans="1:41" ht="12" customHeight="1" x14ac:dyDescent="0.35">
      <c r="A54" s="29" t="s">
        <v>96</v>
      </c>
      <c r="B54" s="30" t="s">
        <v>306</v>
      </c>
      <c r="C54" s="29">
        <v>58</v>
      </c>
      <c r="D54" s="29" t="s">
        <v>307</v>
      </c>
      <c r="E54" s="31" t="s">
        <v>308</v>
      </c>
      <c r="F54" s="29">
        <v>1201</v>
      </c>
      <c r="G54" s="29" t="s">
        <v>59</v>
      </c>
      <c r="H54" s="32">
        <v>46101</v>
      </c>
      <c r="I54" s="33">
        <v>46101</v>
      </c>
      <c r="J54" s="34" t="s">
        <v>79</v>
      </c>
      <c r="K54" s="35">
        <v>0.375</v>
      </c>
      <c r="L54" s="35">
        <v>0.52083333333333337</v>
      </c>
      <c r="M54" s="36">
        <v>0.375</v>
      </c>
      <c r="N54" s="35">
        <v>0.52083333333333337</v>
      </c>
      <c r="O54" s="37">
        <f>IF(N54&gt;M54,N54-M54,(N54+1)-M54)</f>
        <v>0.14583333333333337</v>
      </c>
      <c r="P54" s="29" t="s">
        <v>309</v>
      </c>
      <c r="Q54" s="29" t="s">
        <v>59</v>
      </c>
      <c r="R54" s="29" t="s">
        <v>309</v>
      </c>
      <c r="S54" s="38" t="s">
        <v>46</v>
      </c>
      <c r="T54" s="39" t="s">
        <v>73</v>
      </c>
      <c r="U54" s="39" t="s">
        <v>59</v>
      </c>
      <c r="V54" s="38" t="s">
        <v>100</v>
      </c>
      <c r="W54" s="40" t="s">
        <v>59</v>
      </c>
      <c r="X54" s="13" t="s">
        <v>59</v>
      </c>
      <c r="Y54" s="13" t="s">
        <v>59</v>
      </c>
      <c r="Z54" s="13" t="s">
        <v>59</v>
      </c>
      <c r="AA54" s="13" t="s">
        <v>59</v>
      </c>
      <c r="AB54" s="41" t="s">
        <v>59</v>
      </c>
      <c r="AC54" s="16">
        <v>2.6599999999999997</v>
      </c>
      <c r="AD54" s="42" t="s">
        <v>59</v>
      </c>
      <c r="AE54" s="42" t="s">
        <v>59</v>
      </c>
      <c r="AF54" s="42" t="s">
        <v>59</v>
      </c>
      <c r="AG54" s="43" t="s">
        <v>59</v>
      </c>
      <c r="AH54" s="43" t="s">
        <v>59</v>
      </c>
      <c r="AI54" s="43" t="s">
        <v>59</v>
      </c>
      <c r="AJ54" s="17" t="s">
        <v>59</v>
      </c>
      <c r="AK54" s="17" t="s">
        <v>59</v>
      </c>
      <c r="AL54" s="17">
        <v>11.4</v>
      </c>
      <c r="AM54" s="17" t="s">
        <v>59</v>
      </c>
      <c r="AN54" s="17" t="s">
        <v>59</v>
      </c>
      <c r="AO54" s="44" t="s">
        <v>278</v>
      </c>
    </row>
    <row r="55" spans="1:41" ht="12" customHeight="1" x14ac:dyDescent="0.35">
      <c r="A55" s="29" t="s">
        <v>65</v>
      </c>
      <c r="B55" s="30" t="s">
        <v>310</v>
      </c>
      <c r="C55" s="29">
        <v>21</v>
      </c>
      <c r="D55" s="29" t="s">
        <v>311</v>
      </c>
      <c r="E55" s="31" t="s">
        <v>312</v>
      </c>
      <c r="F55" s="29">
        <v>1046</v>
      </c>
      <c r="G55" s="29" t="s">
        <v>59</v>
      </c>
      <c r="H55" s="32">
        <v>46102</v>
      </c>
      <c r="I55" s="33">
        <v>46102</v>
      </c>
      <c r="J55" s="34" t="s">
        <v>71</v>
      </c>
      <c r="K55" s="35">
        <v>0.72222222222222221</v>
      </c>
      <c r="L55" s="35">
        <v>0.85416666666666663</v>
      </c>
      <c r="M55" s="36">
        <v>0.80555555555555558</v>
      </c>
      <c r="N55" s="35">
        <v>0.9375</v>
      </c>
      <c r="O55" s="37">
        <f>IF(N55&gt;M55,N55-M55,(N55+1)-M55)</f>
        <v>0.13194444444444442</v>
      </c>
      <c r="P55" s="29" t="s">
        <v>313</v>
      </c>
      <c r="Q55" s="29" t="s">
        <v>59</v>
      </c>
      <c r="R55" s="29" t="s">
        <v>313</v>
      </c>
      <c r="S55" s="38" t="s">
        <v>46</v>
      </c>
      <c r="T55" s="39" t="s">
        <v>73</v>
      </c>
      <c r="U55" s="39" t="s">
        <v>59</v>
      </c>
      <c r="V55" s="38" t="s">
        <v>104</v>
      </c>
      <c r="W55" s="40" t="s">
        <v>59</v>
      </c>
      <c r="X55" s="13" t="s">
        <v>59</v>
      </c>
      <c r="Y55" s="13" t="s">
        <v>59</v>
      </c>
      <c r="Z55" s="13" t="s">
        <v>59</v>
      </c>
      <c r="AA55" s="13" t="s">
        <v>59</v>
      </c>
      <c r="AB55" s="41" t="s">
        <v>59</v>
      </c>
      <c r="AC55" s="16">
        <v>2.7</v>
      </c>
      <c r="AD55" s="42" t="s">
        <v>59</v>
      </c>
      <c r="AE55" s="42" t="s">
        <v>59</v>
      </c>
      <c r="AF55" s="42" t="s">
        <v>59</v>
      </c>
      <c r="AG55" s="43" t="s">
        <v>59</v>
      </c>
      <c r="AH55" s="43" t="s">
        <v>59</v>
      </c>
      <c r="AI55" s="43" t="s">
        <v>59</v>
      </c>
      <c r="AJ55" s="17" t="s">
        <v>59</v>
      </c>
      <c r="AK55" s="17" t="s">
        <v>59</v>
      </c>
      <c r="AL55" s="17">
        <v>7.1177954198473277</v>
      </c>
      <c r="AM55" s="17" t="s">
        <v>59</v>
      </c>
      <c r="AN55" s="17" t="s">
        <v>59</v>
      </c>
      <c r="AO55" s="44" t="s">
        <v>278</v>
      </c>
    </row>
    <row r="56" spans="1:41" ht="12" customHeight="1" x14ac:dyDescent="0.35">
      <c r="A56" s="29" t="s">
        <v>65</v>
      </c>
      <c r="B56" s="30" t="s">
        <v>310</v>
      </c>
      <c r="C56" s="29">
        <v>21</v>
      </c>
      <c r="D56" s="29" t="s">
        <v>311</v>
      </c>
      <c r="E56" s="31" t="s">
        <v>312</v>
      </c>
      <c r="F56" s="29">
        <v>1046</v>
      </c>
      <c r="G56" s="29" t="s">
        <v>59</v>
      </c>
      <c r="H56" s="32">
        <v>46103</v>
      </c>
      <c r="I56" s="33">
        <v>46103</v>
      </c>
      <c r="J56" s="34" t="s">
        <v>74</v>
      </c>
      <c r="K56" s="35">
        <v>0.6875</v>
      </c>
      <c r="L56" s="35">
        <v>0.83333333333333337</v>
      </c>
      <c r="M56" s="36">
        <v>0.77083333333333337</v>
      </c>
      <c r="N56" s="35">
        <v>0.91666666666666663</v>
      </c>
      <c r="O56" s="37">
        <f>IF(N56&gt;M56,N56-M56,(N56+1)-M56)</f>
        <v>0.14583333333333326</v>
      </c>
      <c r="P56" s="29" t="s">
        <v>313</v>
      </c>
      <c r="Q56" s="29" t="s">
        <v>59</v>
      </c>
      <c r="R56" s="29" t="s">
        <v>313</v>
      </c>
      <c r="S56" s="38" t="s">
        <v>46</v>
      </c>
      <c r="T56" s="39" t="s">
        <v>73</v>
      </c>
      <c r="U56" s="39" t="s">
        <v>59</v>
      </c>
      <c r="V56" s="38" t="s">
        <v>107</v>
      </c>
      <c r="W56" s="40" t="s">
        <v>59</v>
      </c>
      <c r="X56" s="13" t="s">
        <v>59</v>
      </c>
      <c r="Y56" s="13" t="s">
        <v>59</v>
      </c>
      <c r="Z56" s="13" t="s">
        <v>59</v>
      </c>
      <c r="AA56" s="13" t="s">
        <v>59</v>
      </c>
      <c r="AB56" s="41" t="s">
        <v>59</v>
      </c>
      <c r="AC56" s="16">
        <v>2.7</v>
      </c>
      <c r="AD56" s="42" t="s">
        <v>59</v>
      </c>
      <c r="AE56" s="42" t="s">
        <v>59</v>
      </c>
      <c r="AF56" s="42" t="s">
        <v>59</v>
      </c>
      <c r="AG56" s="43" t="s">
        <v>59</v>
      </c>
      <c r="AH56" s="43" t="s">
        <v>59</v>
      </c>
      <c r="AI56" s="43" t="s">
        <v>59</v>
      </c>
      <c r="AJ56" s="17" t="s">
        <v>59</v>
      </c>
      <c r="AK56" s="17" t="s">
        <v>59</v>
      </c>
      <c r="AL56" s="17">
        <v>7.1177954198473277</v>
      </c>
      <c r="AM56" s="17" t="s">
        <v>59</v>
      </c>
      <c r="AN56" s="17" t="s">
        <v>59</v>
      </c>
      <c r="AO56" s="44" t="s">
        <v>278</v>
      </c>
    </row>
    <row r="57" spans="1:41" ht="12" customHeight="1" x14ac:dyDescent="0.35">
      <c r="A57" s="29" t="s">
        <v>65</v>
      </c>
      <c r="B57" s="30" t="s">
        <v>327</v>
      </c>
      <c r="C57" s="29">
        <v>60</v>
      </c>
      <c r="D57" s="29" t="s">
        <v>66</v>
      </c>
      <c r="E57" s="31" t="s">
        <v>377</v>
      </c>
      <c r="F57" s="29">
        <v>33619</v>
      </c>
      <c r="G57" s="29"/>
      <c r="H57" s="32">
        <v>46104</v>
      </c>
      <c r="I57" s="33">
        <v>46104</v>
      </c>
      <c r="J57" s="34">
        <v>46104</v>
      </c>
      <c r="K57" s="35">
        <v>0.73743055555555559</v>
      </c>
      <c r="L57" s="35">
        <v>0.89458333333333329</v>
      </c>
      <c r="M57" s="36">
        <v>0.82076388888888885</v>
      </c>
      <c r="N57" s="35">
        <v>0.97791666666666666</v>
      </c>
      <c r="O57" s="37">
        <v>0.15715277777777781</v>
      </c>
      <c r="P57" s="29" t="s">
        <v>225</v>
      </c>
      <c r="Q57" s="29" t="s">
        <v>59</v>
      </c>
      <c r="R57" s="29" t="s">
        <v>225</v>
      </c>
      <c r="S57" s="38" t="s">
        <v>48</v>
      </c>
      <c r="T57" s="39" t="s">
        <v>73</v>
      </c>
      <c r="U57" s="39" t="s">
        <v>59</v>
      </c>
      <c r="V57" s="38" t="s">
        <v>107</v>
      </c>
      <c r="W57" s="40" t="s">
        <v>59</v>
      </c>
      <c r="X57" s="13" t="s">
        <v>59</v>
      </c>
      <c r="Y57" s="13" t="s">
        <v>59</v>
      </c>
      <c r="Z57" s="13" t="s">
        <v>59</v>
      </c>
      <c r="AA57" s="13"/>
      <c r="AB57" s="41"/>
      <c r="AC57" s="16">
        <v>3.1716653358907347</v>
      </c>
      <c r="AD57" s="42"/>
      <c r="AE57" s="42"/>
      <c r="AF57" s="42"/>
      <c r="AG57" s="43"/>
      <c r="AH57" s="43"/>
      <c r="AI57" s="43"/>
      <c r="AJ57" s="17"/>
      <c r="AK57" s="17"/>
      <c r="AL57" s="17">
        <v>44.529262086513988</v>
      </c>
      <c r="AM57" s="17"/>
      <c r="AN57" s="17" t="s">
        <v>59</v>
      </c>
      <c r="AO57" s="44" t="s">
        <v>375</v>
      </c>
    </row>
    <row r="58" spans="1:41" ht="12" customHeight="1" x14ac:dyDescent="0.35">
      <c r="A58" s="29" t="s">
        <v>65</v>
      </c>
      <c r="B58" s="30" t="s">
        <v>340</v>
      </c>
      <c r="C58" s="29">
        <v>274</v>
      </c>
      <c r="D58" s="29" t="s">
        <v>341</v>
      </c>
      <c r="E58" s="31" t="s">
        <v>367</v>
      </c>
      <c r="F58" s="29">
        <v>5434</v>
      </c>
      <c r="G58" s="29" t="s">
        <v>59</v>
      </c>
      <c r="H58" s="32">
        <v>46103</v>
      </c>
      <c r="I58" s="33">
        <v>46103</v>
      </c>
      <c r="J58" s="34" t="s">
        <v>74</v>
      </c>
      <c r="K58" s="35">
        <v>0.25</v>
      </c>
      <c r="L58" s="35">
        <v>0.45833333333333331</v>
      </c>
      <c r="M58" s="36">
        <v>0.375</v>
      </c>
      <c r="N58" s="35">
        <v>0.58333333333333337</v>
      </c>
      <c r="O58" s="37">
        <f>IF(N58&gt;M58,N58-M58,(N58+1)-M58)</f>
        <v>0.20833333333333337</v>
      </c>
      <c r="P58" s="29" t="s">
        <v>342</v>
      </c>
      <c r="Q58" s="29" t="s">
        <v>343</v>
      </c>
      <c r="R58" s="29" t="s">
        <v>344</v>
      </c>
      <c r="S58" s="38" t="s">
        <v>46</v>
      </c>
      <c r="T58" s="39" t="s">
        <v>73</v>
      </c>
      <c r="U58" s="39" t="s">
        <v>59</v>
      </c>
      <c r="V58" s="38" t="s">
        <v>107</v>
      </c>
      <c r="W58" s="40" t="s">
        <v>59</v>
      </c>
      <c r="X58" s="13" t="s">
        <v>59</v>
      </c>
      <c r="Y58" s="13" t="s">
        <v>59</v>
      </c>
      <c r="Z58" s="13" t="s">
        <v>59</v>
      </c>
      <c r="AA58" s="13" t="s">
        <v>59</v>
      </c>
      <c r="AB58" s="41" t="s">
        <v>59</v>
      </c>
      <c r="AC58" s="16">
        <v>3.5</v>
      </c>
      <c r="AD58" s="42" t="s">
        <v>59</v>
      </c>
      <c r="AE58" s="42" t="s">
        <v>59</v>
      </c>
      <c r="AF58" s="42" t="s">
        <v>59</v>
      </c>
      <c r="AG58" s="43" t="s">
        <v>59</v>
      </c>
      <c r="AH58" s="43" t="s">
        <v>59</v>
      </c>
      <c r="AI58" s="43" t="s">
        <v>59</v>
      </c>
      <c r="AJ58" s="17" t="s">
        <v>59</v>
      </c>
      <c r="AK58" s="17" t="s">
        <v>59</v>
      </c>
      <c r="AL58" s="17">
        <v>24.53129770992366</v>
      </c>
      <c r="AM58" s="17" t="s">
        <v>59</v>
      </c>
      <c r="AN58" s="17" t="s">
        <v>59</v>
      </c>
      <c r="AO58" s="44" t="s">
        <v>278</v>
      </c>
    </row>
    <row r="59" spans="1:41" ht="12" customHeight="1" x14ac:dyDescent="0.35">
      <c r="A59" s="29" t="s">
        <v>96</v>
      </c>
      <c r="B59" s="30" t="s">
        <v>238</v>
      </c>
      <c r="C59" s="29">
        <v>6</v>
      </c>
      <c r="D59" s="29" t="s">
        <v>98</v>
      </c>
      <c r="E59" s="31" t="s">
        <v>366</v>
      </c>
      <c r="F59" s="29">
        <v>2661</v>
      </c>
      <c r="G59" s="29"/>
      <c r="H59" s="32">
        <v>46103</v>
      </c>
      <c r="I59" s="33">
        <v>46103</v>
      </c>
      <c r="J59" s="34">
        <v>46103</v>
      </c>
      <c r="K59" s="35">
        <v>0.83289351851851856</v>
      </c>
      <c r="L59" s="35">
        <v>0.87564814814814818</v>
      </c>
      <c r="M59" s="36">
        <v>0.87456018518518519</v>
      </c>
      <c r="N59" s="35">
        <v>0.91731481481481481</v>
      </c>
      <c r="O59" s="37">
        <v>4.2754629629629615E-2</v>
      </c>
      <c r="P59" s="29" t="s">
        <v>106</v>
      </c>
      <c r="Q59" s="29" t="s">
        <v>59</v>
      </c>
      <c r="R59" s="29" t="s">
        <v>106</v>
      </c>
      <c r="S59" s="38" t="s">
        <v>48</v>
      </c>
      <c r="T59" s="39" t="s">
        <v>73</v>
      </c>
      <c r="U59" s="39" t="s">
        <v>59</v>
      </c>
      <c r="V59" s="38" t="s">
        <v>107</v>
      </c>
      <c r="W59" s="40" t="s">
        <v>59</v>
      </c>
      <c r="X59" s="13" t="s">
        <v>59</v>
      </c>
      <c r="Y59" s="13" t="s">
        <v>59</v>
      </c>
      <c r="Z59" s="13" t="s">
        <v>59</v>
      </c>
      <c r="AA59" s="13"/>
      <c r="AB59" s="41"/>
      <c r="AC59" s="16">
        <v>3.65</v>
      </c>
      <c r="AD59" s="42"/>
      <c r="AE59" s="42"/>
      <c r="AF59" s="42"/>
      <c r="AG59" s="43"/>
      <c r="AH59" s="43"/>
      <c r="AI59" s="43"/>
      <c r="AJ59" s="17"/>
      <c r="AK59" s="17"/>
      <c r="AL59" s="17">
        <v>4.1479999999999997</v>
      </c>
      <c r="AM59" s="17"/>
      <c r="AN59" s="17" t="s">
        <v>59</v>
      </c>
      <c r="AO59" s="44" t="s">
        <v>373</v>
      </c>
    </row>
    <row r="60" spans="1:41" ht="12" customHeight="1" x14ac:dyDescent="0.35">
      <c r="A60" s="29" t="s">
        <v>65</v>
      </c>
      <c r="B60" s="30" t="s">
        <v>327</v>
      </c>
      <c r="C60" s="29">
        <v>60</v>
      </c>
      <c r="D60" s="29" t="s">
        <v>66</v>
      </c>
      <c r="E60" s="31" t="s">
        <v>377</v>
      </c>
      <c r="F60" s="29">
        <v>33619</v>
      </c>
      <c r="G60" s="29"/>
      <c r="H60" s="32">
        <v>46104</v>
      </c>
      <c r="I60" s="33">
        <v>46104</v>
      </c>
      <c r="J60" s="34">
        <v>46104</v>
      </c>
      <c r="K60" s="35">
        <v>0.38534722222222223</v>
      </c>
      <c r="L60" s="35">
        <v>0.40971064814814817</v>
      </c>
      <c r="M60" s="36">
        <v>0.46868055555555554</v>
      </c>
      <c r="N60" s="35">
        <v>0.49304398148148149</v>
      </c>
      <c r="O60" s="37">
        <v>2.4363425925925941E-2</v>
      </c>
      <c r="P60" s="29" t="s">
        <v>225</v>
      </c>
      <c r="Q60" s="29" t="s">
        <v>59</v>
      </c>
      <c r="R60" s="29" t="s">
        <v>225</v>
      </c>
      <c r="S60" s="38" t="s">
        <v>49</v>
      </c>
      <c r="T60" s="39" t="s">
        <v>73</v>
      </c>
      <c r="U60" s="39" t="s">
        <v>59</v>
      </c>
      <c r="V60" s="38" t="s">
        <v>107</v>
      </c>
      <c r="W60" s="40" t="s">
        <v>59</v>
      </c>
      <c r="X60" s="13" t="s">
        <v>59</v>
      </c>
      <c r="Y60" s="13" t="s">
        <v>59</v>
      </c>
      <c r="Z60" s="13" t="s">
        <v>59</v>
      </c>
      <c r="AA60" s="13"/>
      <c r="AB60" s="41"/>
      <c r="AC60" s="16">
        <v>3.6596138491046939</v>
      </c>
      <c r="AD60" s="42"/>
      <c r="AE60" s="42"/>
      <c r="AF60" s="42"/>
      <c r="AG60" s="43"/>
      <c r="AH60" s="43"/>
      <c r="AI60" s="43"/>
      <c r="AJ60" s="17"/>
      <c r="AK60" s="17"/>
      <c r="AL60" s="17">
        <v>22.264631043256994</v>
      </c>
      <c r="AM60" s="17"/>
      <c r="AN60" s="17" t="s">
        <v>59</v>
      </c>
      <c r="AO60" s="44" t="s">
        <v>375</v>
      </c>
    </row>
    <row r="61" spans="1:41" ht="12" customHeight="1" x14ac:dyDescent="0.35">
      <c r="A61" s="29" t="s">
        <v>65</v>
      </c>
      <c r="B61" s="30" t="s">
        <v>310</v>
      </c>
      <c r="C61" s="29">
        <v>21</v>
      </c>
      <c r="D61" s="29" t="s">
        <v>311</v>
      </c>
      <c r="E61" s="31" t="s">
        <v>314</v>
      </c>
      <c r="F61" s="29">
        <v>2140</v>
      </c>
      <c r="G61" s="29" t="s">
        <v>59</v>
      </c>
      <c r="H61" s="32">
        <v>46103</v>
      </c>
      <c r="I61" s="33">
        <v>46103</v>
      </c>
      <c r="J61" s="34" t="s">
        <v>74</v>
      </c>
      <c r="K61" s="35">
        <v>0.375</v>
      </c>
      <c r="L61" s="35">
        <v>0.55208333333333337</v>
      </c>
      <c r="M61" s="36">
        <v>0.45833333333333331</v>
      </c>
      <c r="N61" s="35">
        <v>0.63541666666666663</v>
      </c>
      <c r="O61" s="37">
        <f>IF(N61&gt;M61,N61-M61,(N61+1)-M61)</f>
        <v>0.17708333333333331</v>
      </c>
      <c r="P61" s="29" t="s">
        <v>309</v>
      </c>
      <c r="Q61" s="29" t="s">
        <v>59</v>
      </c>
      <c r="R61" s="29" t="s">
        <v>309</v>
      </c>
      <c r="S61" s="38" t="s">
        <v>46</v>
      </c>
      <c r="T61" s="39" t="s">
        <v>73</v>
      </c>
      <c r="U61" s="39" t="s">
        <v>59</v>
      </c>
      <c r="V61" s="38" t="s">
        <v>107</v>
      </c>
      <c r="W61" s="40" t="s">
        <v>59</v>
      </c>
      <c r="X61" s="13" t="s">
        <v>59</v>
      </c>
      <c r="Y61" s="13" t="s">
        <v>59</v>
      </c>
      <c r="Z61" s="13" t="s">
        <v>59</v>
      </c>
      <c r="AA61" s="13" t="s">
        <v>59</v>
      </c>
      <c r="AB61" s="41" t="s">
        <v>59</v>
      </c>
      <c r="AC61" s="16">
        <v>3.9000000000000004</v>
      </c>
      <c r="AD61" s="42" t="s">
        <v>59</v>
      </c>
      <c r="AE61" s="42" t="s">
        <v>59</v>
      </c>
      <c r="AF61" s="42" t="s">
        <v>59</v>
      </c>
      <c r="AG61" s="43" t="s">
        <v>59</v>
      </c>
      <c r="AH61" s="43" t="s">
        <v>59</v>
      </c>
      <c r="AI61" s="43" t="s">
        <v>59</v>
      </c>
      <c r="AJ61" s="17" t="s">
        <v>59</v>
      </c>
      <c r="AK61" s="17" t="s">
        <v>59</v>
      </c>
      <c r="AL61" s="17">
        <v>6.0501261068702288</v>
      </c>
      <c r="AM61" s="17" t="s">
        <v>59</v>
      </c>
      <c r="AN61" s="17" t="s">
        <v>59</v>
      </c>
      <c r="AO61" s="44" t="s">
        <v>278</v>
      </c>
    </row>
    <row r="62" spans="1:41" ht="12" customHeight="1" x14ac:dyDescent="0.35">
      <c r="A62" s="29" t="s">
        <v>65</v>
      </c>
      <c r="B62" s="30" t="s">
        <v>327</v>
      </c>
      <c r="C62" s="29">
        <v>60</v>
      </c>
      <c r="D62" s="29" t="s">
        <v>66</v>
      </c>
      <c r="E62" s="31" t="s">
        <v>377</v>
      </c>
      <c r="F62" s="29">
        <v>33619</v>
      </c>
      <c r="G62" s="29"/>
      <c r="H62" s="32">
        <v>46101</v>
      </c>
      <c r="I62" s="33">
        <v>46101</v>
      </c>
      <c r="J62" s="34">
        <v>46101</v>
      </c>
      <c r="K62" s="35">
        <v>0.70843750000000005</v>
      </c>
      <c r="L62" s="35">
        <v>0.86674768518518519</v>
      </c>
      <c r="M62" s="36">
        <v>0.79177083333333331</v>
      </c>
      <c r="N62" s="35">
        <v>0.95008101851851856</v>
      </c>
      <c r="O62" s="37">
        <v>0.15831018518518525</v>
      </c>
      <c r="P62" s="29" t="s">
        <v>225</v>
      </c>
      <c r="Q62" s="29" t="s">
        <v>59</v>
      </c>
      <c r="R62" s="29" t="s">
        <v>225</v>
      </c>
      <c r="S62" s="38" t="s">
        <v>46</v>
      </c>
      <c r="T62" s="39" t="s">
        <v>73</v>
      </c>
      <c r="U62" s="39" t="s">
        <v>59</v>
      </c>
      <c r="V62" s="38" t="s">
        <v>100</v>
      </c>
      <c r="W62" s="40" t="s">
        <v>59</v>
      </c>
      <c r="X62" s="13" t="s">
        <v>59</v>
      </c>
      <c r="Y62" s="13" t="s">
        <v>59</v>
      </c>
      <c r="Z62" s="13" t="s">
        <v>59</v>
      </c>
      <c r="AA62" s="13"/>
      <c r="AB62" s="41"/>
      <c r="AC62" s="16">
        <v>3.9849128579140003</v>
      </c>
      <c r="AD62" s="42"/>
      <c r="AE62" s="42"/>
      <c r="AF62" s="42"/>
      <c r="AG62" s="43"/>
      <c r="AH62" s="43"/>
      <c r="AI62" s="43"/>
      <c r="AJ62" s="17"/>
      <c r="AK62" s="17"/>
      <c r="AL62" s="17">
        <v>106.87022900763357</v>
      </c>
      <c r="AM62" s="17"/>
      <c r="AN62" s="17" t="s">
        <v>59</v>
      </c>
      <c r="AO62" s="44" t="s">
        <v>375</v>
      </c>
    </row>
    <row r="63" spans="1:41" ht="12" customHeight="1" x14ac:dyDescent="0.35">
      <c r="A63" s="29" t="s">
        <v>65</v>
      </c>
      <c r="B63" s="30" t="s">
        <v>327</v>
      </c>
      <c r="C63" s="29">
        <v>60</v>
      </c>
      <c r="D63" s="29" t="s">
        <v>66</v>
      </c>
      <c r="E63" s="31" t="s">
        <v>377</v>
      </c>
      <c r="F63" s="29">
        <v>33619</v>
      </c>
      <c r="G63" s="29"/>
      <c r="H63" s="32">
        <v>46104</v>
      </c>
      <c r="I63" s="33">
        <v>46104</v>
      </c>
      <c r="J63" s="34">
        <v>46104</v>
      </c>
      <c r="K63" s="35">
        <v>0.43047453703703703</v>
      </c>
      <c r="L63" s="35">
        <v>0.5521759259259259</v>
      </c>
      <c r="M63" s="36">
        <v>0.51380787037037035</v>
      </c>
      <c r="N63" s="35">
        <v>0.63550925925925927</v>
      </c>
      <c r="O63" s="37">
        <v>0.12170138888888893</v>
      </c>
      <c r="P63" s="29" t="s">
        <v>225</v>
      </c>
      <c r="Q63" s="29" t="s">
        <v>59</v>
      </c>
      <c r="R63" s="29" t="s">
        <v>225</v>
      </c>
      <c r="S63" s="38" t="s">
        <v>48</v>
      </c>
      <c r="T63" s="39" t="s">
        <v>73</v>
      </c>
      <c r="U63" s="39" t="s">
        <v>59</v>
      </c>
      <c r="V63" s="38" t="s">
        <v>107</v>
      </c>
      <c r="W63" s="40" t="s">
        <v>59</v>
      </c>
      <c r="X63" s="13" t="s">
        <v>59</v>
      </c>
      <c r="Y63" s="13" t="s">
        <v>59</v>
      </c>
      <c r="Z63" s="13" t="s">
        <v>59</v>
      </c>
      <c r="AA63" s="13"/>
      <c r="AB63" s="41"/>
      <c r="AC63" s="16">
        <v>4.9608098843419182</v>
      </c>
      <c r="AD63" s="42"/>
      <c r="AE63" s="42"/>
      <c r="AF63" s="42"/>
      <c r="AG63" s="43"/>
      <c r="AH63" s="43"/>
      <c r="AI63" s="43"/>
      <c r="AJ63" s="17"/>
      <c r="AK63" s="17"/>
      <c r="AL63" s="17">
        <v>22.264631043256994</v>
      </c>
      <c r="AM63" s="17"/>
      <c r="AN63" s="17" t="s">
        <v>59</v>
      </c>
      <c r="AO63" s="44" t="s">
        <v>375</v>
      </c>
    </row>
    <row r="64" spans="1:41" ht="12" customHeight="1" x14ac:dyDescent="0.35">
      <c r="A64" s="29" t="s">
        <v>65</v>
      </c>
      <c r="B64" s="30" t="s">
        <v>327</v>
      </c>
      <c r="C64" s="29">
        <v>60</v>
      </c>
      <c r="D64" s="29" t="s">
        <v>66</v>
      </c>
      <c r="E64" s="31" t="s">
        <v>377</v>
      </c>
      <c r="F64" s="29">
        <v>33619</v>
      </c>
      <c r="G64" s="29"/>
      <c r="H64" s="32">
        <v>46102</v>
      </c>
      <c r="I64" s="33">
        <v>46102</v>
      </c>
      <c r="J64" s="34">
        <v>46102</v>
      </c>
      <c r="K64" s="35">
        <v>0.32415509259259262</v>
      </c>
      <c r="L64" s="35">
        <v>0.36576388888888889</v>
      </c>
      <c r="M64" s="36">
        <v>0.40748842592592593</v>
      </c>
      <c r="N64" s="35">
        <v>0.4490972222222222</v>
      </c>
      <c r="O64" s="37">
        <v>4.1608796296296269E-2</v>
      </c>
      <c r="P64" s="29" t="s">
        <v>225</v>
      </c>
      <c r="Q64" s="29" t="s">
        <v>59</v>
      </c>
      <c r="R64" s="29" t="s">
        <v>225</v>
      </c>
      <c r="S64" s="38" t="s">
        <v>49</v>
      </c>
      <c r="T64" s="39" t="s">
        <v>73</v>
      </c>
      <c r="U64" s="39" t="s">
        <v>59</v>
      </c>
      <c r="V64" s="38" t="s">
        <v>100</v>
      </c>
      <c r="W64" s="40" t="s">
        <v>59</v>
      </c>
      <c r="X64" s="13" t="s">
        <v>59</v>
      </c>
      <c r="Y64" s="13" t="s">
        <v>59</v>
      </c>
      <c r="Z64" s="13" t="s">
        <v>59</v>
      </c>
      <c r="AA64" s="13"/>
      <c r="AB64" s="41"/>
      <c r="AC64" s="16">
        <v>5.0421346365442457</v>
      </c>
      <c r="AD64" s="42"/>
      <c r="AE64" s="42"/>
      <c r="AF64" s="42"/>
      <c r="AG64" s="43"/>
      <c r="AH64" s="43"/>
      <c r="AI64" s="43"/>
      <c r="AJ64" s="17"/>
      <c r="AK64" s="17"/>
      <c r="AL64" s="17">
        <v>26.717557251908392</v>
      </c>
      <c r="AM64" s="17"/>
      <c r="AN64" s="17" t="s">
        <v>59</v>
      </c>
      <c r="AO64" s="44" t="s">
        <v>375</v>
      </c>
    </row>
    <row r="65" spans="1:41" ht="12" customHeight="1" x14ac:dyDescent="0.35">
      <c r="A65" s="29" t="s">
        <v>65</v>
      </c>
      <c r="B65" s="30" t="s">
        <v>327</v>
      </c>
      <c r="C65" s="29">
        <v>60</v>
      </c>
      <c r="D65" s="29" t="s">
        <v>66</v>
      </c>
      <c r="E65" s="31" t="s">
        <v>377</v>
      </c>
      <c r="F65" s="29">
        <v>33619</v>
      </c>
      <c r="G65" s="29"/>
      <c r="H65" s="32">
        <v>46101</v>
      </c>
      <c r="I65" s="33">
        <v>46101</v>
      </c>
      <c r="J65" s="34">
        <v>46101</v>
      </c>
      <c r="K65" s="35">
        <v>0.37163194444444442</v>
      </c>
      <c r="L65" s="35">
        <v>0.54543981481481485</v>
      </c>
      <c r="M65" s="36">
        <v>0.45496527777777779</v>
      </c>
      <c r="N65" s="35">
        <v>0.62877314814814811</v>
      </c>
      <c r="O65" s="37">
        <v>0.17380787037037032</v>
      </c>
      <c r="P65" s="29" t="s">
        <v>225</v>
      </c>
      <c r="Q65" s="29" t="s">
        <v>59</v>
      </c>
      <c r="R65" s="29" t="s">
        <v>225</v>
      </c>
      <c r="S65" s="38" t="s">
        <v>46</v>
      </c>
      <c r="T65" s="39" t="s">
        <v>73</v>
      </c>
      <c r="U65" s="39" t="s">
        <v>59</v>
      </c>
      <c r="V65" s="38" t="s">
        <v>100</v>
      </c>
      <c r="W65" s="40" t="s">
        <v>59</v>
      </c>
      <c r="X65" s="13" t="s">
        <v>59</v>
      </c>
      <c r="Y65" s="13" t="s">
        <v>59</v>
      </c>
      <c r="Z65" s="13" t="s">
        <v>59</v>
      </c>
      <c r="AA65" s="13"/>
      <c r="AB65" s="41"/>
      <c r="AC65" s="16">
        <v>5.5300831497582044</v>
      </c>
      <c r="AD65" s="42"/>
      <c r="AE65" s="42"/>
      <c r="AF65" s="42"/>
      <c r="AG65" s="43"/>
      <c r="AH65" s="43"/>
      <c r="AI65" s="43"/>
      <c r="AJ65" s="17"/>
      <c r="AK65" s="17"/>
      <c r="AL65" s="17">
        <v>53.435114503816784</v>
      </c>
      <c r="AM65" s="17"/>
      <c r="AN65" s="17" t="s">
        <v>59</v>
      </c>
      <c r="AO65" s="44" t="s">
        <v>375</v>
      </c>
    </row>
    <row r="66" spans="1:41" ht="12" customHeight="1" x14ac:dyDescent="0.35">
      <c r="A66" s="29" t="s">
        <v>65</v>
      </c>
      <c r="B66" s="30" t="s">
        <v>310</v>
      </c>
      <c r="C66" s="29">
        <v>21</v>
      </c>
      <c r="D66" s="29" t="s">
        <v>311</v>
      </c>
      <c r="E66" s="31" t="s">
        <v>314</v>
      </c>
      <c r="F66" s="29">
        <v>2140</v>
      </c>
      <c r="G66" s="29" t="s">
        <v>59</v>
      </c>
      <c r="H66" s="32">
        <v>46101</v>
      </c>
      <c r="I66" s="33">
        <v>46101</v>
      </c>
      <c r="J66" s="34" t="s">
        <v>79</v>
      </c>
      <c r="K66" s="35">
        <v>0.69444444444444442</v>
      </c>
      <c r="L66" s="35">
        <v>0.85763888888888884</v>
      </c>
      <c r="M66" s="36">
        <v>0.77777777777777779</v>
      </c>
      <c r="N66" s="35">
        <v>0.94097222222222221</v>
      </c>
      <c r="O66" s="37">
        <f>IF(N66&gt;M66,N66-M66,(N66+1)-M66)</f>
        <v>0.16319444444444442</v>
      </c>
      <c r="P66" s="29" t="s">
        <v>309</v>
      </c>
      <c r="Q66" s="29" t="s">
        <v>59</v>
      </c>
      <c r="R66" s="29" t="s">
        <v>309</v>
      </c>
      <c r="S66" s="38" t="s">
        <v>46</v>
      </c>
      <c r="T66" s="39" t="s">
        <v>73</v>
      </c>
      <c r="U66" s="39" t="s">
        <v>59</v>
      </c>
      <c r="V66" s="38" t="s">
        <v>100</v>
      </c>
      <c r="W66" s="40" t="s">
        <v>59</v>
      </c>
      <c r="X66" s="13" t="s">
        <v>59</v>
      </c>
      <c r="Y66" s="13" t="s">
        <v>59</v>
      </c>
      <c r="Z66" s="13" t="s">
        <v>59</v>
      </c>
      <c r="AA66" s="13" t="s">
        <v>59</v>
      </c>
      <c r="AB66" s="41" t="s">
        <v>59</v>
      </c>
      <c r="AC66" s="16">
        <v>5.6999999999999993</v>
      </c>
      <c r="AD66" s="42" t="s">
        <v>59</v>
      </c>
      <c r="AE66" s="42" t="s">
        <v>59</v>
      </c>
      <c r="AF66" s="42" t="s">
        <v>59</v>
      </c>
      <c r="AG66" s="43" t="s">
        <v>59</v>
      </c>
      <c r="AH66" s="43" t="s">
        <v>59</v>
      </c>
      <c r="AI66" s="43" t="s">
        <v>59</v>
      </c>
      <c r="AJ66" s="17" t="s">
        <v>59</v>
      </c>
      <c r="AK66" s="17" t="s">
        <v>59</v>
      </c>
      <c r="AL66" s="17">
        <v>5.0417717557251907</v>
      </c>
      <c r="AM66" s="17" t="s">
        <v>59</v>
      </c>
      <c r="AN66" s="17" t="s">
        <v>59</v>
      </c>
      <c r="AO66" s="44" t="s">
        <v>278</v>
      </c>
    </row>
    <row r="67" spans="1:41" ht="12" customHeight="1" x14ac:dyDescent="0.35">
      <c r="A67" s="29" t="s">
        <v>96</v>
      </c>
      <c r="B67" s="30" t="s">
        <v>306</v>
      </c>
      <c r="C67" s="29">
        <v>58</v>
      </c>
      <c r="D67" s="29" t="s">
        <v>307</v>
      </c>
      <c r="E67" s="31" t="s">
        <v>308</v>
      </c>
      <c r="F67" s="29">
        <v>1201</v>
      </c>
      <c r="G67" s="29" t="s">
        <v>59</v>
      </c>
      <c r="H67" s="32">
        <v>46101</v>
      </c>
      <c r="I67" s="33">
        <v>46101</v>
      </c>
      <c r="J67" s="34" t="s">
        <v>79</v>
      </c>
      <c r="K67" s="35">
        <v>0.71180555555555558</v>
      </c>
      <c r="L67" s="35">
        <v>0.72916666666666663</v>
      </c>
      <c r="M67" s="36">
        <v>0.71180555555555558</v>
      </c>
      <c r="N67" s="35">
        <v>0.72916666666666663</v>
      </c>
      <c r="O67" s="37">
        <f>IF(N67&gt;M67,N67-M67,(N67+1)-M67)</f>
        <v>1.7361111111111049E-2</v>
      </c>
      <c r="P67" s="29" t="s">
        <v>309</v>
      </c>
      <c r="Q67" s="29" t="s">
        <v>59</v>
      </c>
      <c r="R67" s="29" t="s">
        <v>309</v>
      </c>
      <c r="S67" s="38" t="s">
        <v>46</v>
      </c>
      <c r="T67" s="39" t="s">
        <v>73</v>
      </c>
      <c r="U67" s="39" t="s">
        <v>59</v>
      </c>
      <c r="V67" s="38" t="s">
        <v>100</v>
      </c>
      <c r="W67" s="40" t="s">
        <v>59</v>
      </c>
      <c r="X67" s="13" t="s">
        <v>59</v>
      </c>
      <c r="Y67" s="13" t="s">
        <v>59</v>
      </c>
      <c r="Z67" s="13" t="s">
        <v>59</v>
      </c>
      <c r="AA67" s="13" t="s">
        <v>59</v>
      </c>
      <c r="AB67" s="41" t="s">
        <v>59</v>
      </c>
      <c r="AC67" s="16">
        <v>5.6999999999999993</v>
      </c>
      <c r="AD67" s="42" t="s">
        <v>59</v>
      </c>
      <c r="AE67" s="42" t="s">
        <v>59</v>
      </c>
      <c r="AF67" s="42" t="s">
        <v>59</v>
      </c>
      <c r="AG67" s="43" t="s">
        <v>59</v>
      </c>
      <c r="AH67" s="43" t="s">
        <v>59</v>
      </c>
      <c r="AI67" s="43" t="s">
        <v>59</v>
      </c>
      <c r="AJ67" s="17" t="s">
        <v>59</v>
      </c>
      <c r="AK67" s="17" t="s">
        <v>59</v>
      </c>
      <c r="AL67" s="17">
        <v>11.4</v>
      </c>
      <c r="AM67" s="17" t="s">
        <v>59</v>
      </c>
      <c r="AN67" s="17" t="s">
        <v>59</v>
      </c>
      <c r="AO67" s="44" t="s">
        <v>278</v>
      </c>
    </row>
    <row r="68" spans="1:41" ht="12" customHeight="1" x14ac:dyDescent="0.35">
      <c r="A68" s="29" t="s">
        <v>65</v>
      </c>
      <c r="B68" s="30" t="s">
        <v>310</v>
      </c>
      <c r="C68" s="29">
        <v>21</v>
      </c>
      <c r="D68" s="29" t="s">
        <v>311</v>
      </c>
      <c r="E68" s="31" t="s">
        <v>314</v>
      </c>
      <c r="F68" s="29">
        <v>2140</v>
      </c>
      <c r="G68" s="29" t="s">
        <v>59</v>
      </c>
      <c r="H68" s="32">
        <v>46102</v>
      </c>
      <c r="I68" s="33">
        <v>46102</v>
      </c>
      <c r="J68" s="34" t="s">
        <v>71</v>
      </c>
      <c r="K68" s="35">
        <v>0.71527777777777779</v>
      </c>
      <c r="L68" s="35">
        <v>0.85763888888888884</v>
      </c>
      <c r="M68" s="36">
        <v>0.79861111111111116</v>
      </c>
      <c r="N68" s="35">
        <v>0.94097222222222221</v>
      </c>
      <c r="O68" s="37">
        <f>IF(N68&gt;M68,N68-M68,(N68+1)-M68)</f>
        <v>0.14236111111111105</v>
      </c>
      <c r="P68" s="29" t="s">
        <v>309</v>
      </c>
      <c r="Q68" s="29" t="s">
        <v>59</v>
      </c>
      <c r="R68" s="29" t="s">
        <v>309</v>
      </c>
      <c r="S68" s="38" t="s">
        <v>46</v>
      </c>
      <c r="T68" s="39" t="s">
        <v>73</v>
      </c>
      <c r="U68" s="39" t="s">
        <v>59</v>
      </c>
      <c r="V68" s="38" t="s">
        <v>104</v>
      </c>
      <c r="W68" s="40" t="s">
        <v>59</v>
      </c>
      <c r="X68" s="13" t="s">
        <v>59</v>
      </c>
      <c r="Y68" s="13" t="s">
        <v>59</v>
      </c>
      <c r="Z68" s="13" t="s">
        <v>59</v>
      </c>
      <c r="AA68" s="13" t="s">
        <v>59</v>
      </c>
      <c r="AB68" s="41" t="s">
        <v>59</v>
      </c>
      <c r="AC68" s="16">
        <v>6</v>
      </c>
      <c r="AD68" s="42" t="s">
        <v>59</v>
      </c>
      <c r="AE68" s="42" t="s">
        <v>59</v>
      </c>
      <c r="AF68" s="42" t="s">
        <v>59</v>
      </c>
      <c r="AG68" s="43" t="s">
        <v>59</v>
      </c>
      <c r="AH68" s="43" t="s">
        <v>59</v>
      </c>
      <c r="AI68" s="43" t="s">
        <v>59</v>
      </c>
      <c r="AJ68" s="17" t="s">
        <v>59</v>
      </c>
      <c r="AK68" s="17" t="s">
        <v>59</v>
      </c>
      <c r="AL68" s="17">
        <v>6.0501261068702288</v>
      </c>
      <c r="AM68" s="17" t="s">
        <v>59</v>
      </c>
      <c r="AN68" s="17" t="s">
        <v>59</v>
      </c>
      <c r="AO68" s="44" t="s">
        <v>278</v>
      </c>
    </row>
    <row r="69" spans="1:41" ht="12" customHeight="1" x14ac:dyDescent="0.35">
      <c r="A69" s="29" t="s">
        <v>65</v>
      </c>
      <c r="B69" s="30" t="s">
        <v>340</v>
      </c>
      <c r="C69" s="29">
        <v>274</v>
      </c>
      <c r="D69" s="29" t="s">
        <v>341</v>
      </c>
      <c r="E69" s="31" t="s">
        <v>367</v>
      </c>
      <c r="F69" s="29">
        <v>5434</v>
      </c>
      <c r="G69" s="29" t="s">
        <v>59</v>
      </c>
      <c r="H69" s="32">
        <v>46101</v>
      </c>
      <c r="I69" s="33">
        <v>46101</v>
      </c>
      <c r="J69" s="34" t="s">
        <v>79</v>
      </c>
      <c r="K69" s="35">
        <v>0.47916666666666669</v>
      </c>
      <c r="L69" s="35">
        <v>0.6875</v>
      </c>
      <c r="M69" s="36">
        <v>0.60416666666666663</v>
      </c>
      <c r="N69" s="35">
        <v>0.8125</v>
      </c>
      <c r="O69" s="37">
        <f>IF(N69&gt;M69,N69-M69,(N69+1)-M69)</f>
        <v>0.20833333333333337</v>
      </c>
      <c r="P69" s="29" t="s">
        <v>342</v>
      </c>
      <c r="Q69" s="29" t="s">
        <v>343</v>
      </c>
      <c r="R69" s="29" t="s">
        <v>344</v>
      </c>
      <c r="S69" s="38" t="s">
        <v>46</v>
      </c>
      <c r="T69" s="39" t="s">
        <v>73</v>
      </c>
      <c r="U69" s="39" t="s">
        <v>59</v>
      </c>
      <c r="V69" s="38" t="s">
        <v>100</v>
      </c>
      <c r="W69" s="40" t="s">
        <v>59</v>
      </c>
      <c r="X69" s="13" t="s">
        <v>59</v>
      </c>
      <c r="Y69" s="13" t="s">
        <v>59</v>
      </c>
      <c r="Z69" s="13" t="s">
        <v>59</v>
      </c>
      <c r="AA69" s="13" t="s">
        <v>59</v>
      </c>
      <c r="AB69" s="41" t="s">
        <v>59</v>
      </c>
      <c r="AC69" s="16">
        <v>6.1749999999999998</v>
      </c>
      <c r="AD69" s="42" t="s">
        <v>59</v>
      </c>
      <c r="AE69" s="42" t="s">
        <v>59</v>
      </c>
      <c r="AF69" s="42" t="s">
        <v>59</v>
      </c>
      <c r="AG69" s="43" t="s">
        <v>59</v>
      </c>
      <c r="AH69" s="43" t="s">
        <v>59</v>
      </c>
      <c r="AI69" s="43" t="s">
        <v>59</v>
      </c>
      <c r="AJ69" s="17" t="s">
        <v>59</v>
      </c>
      <c r="AK69" s="17" t="s">
        <v>59</v>
      </c>
      <c r="AL69" s="17">
        <v>20.44274809160305</v>
      </c>
      <c r="AM69" s="17" t="s">
        <v>59</v>
      </c>
      <c r="AN69" s="17" t="s">
        <v>59</v>
      </c>
      <c r="AO69" s="44" t="s">
        <v>278</v>
      </c>
    </row>
    <row r="70" spans="1:41" ht="12" customHeight="1" x14ac:dyDescent="0.35">
      <c r="A70" s="29" t="s">
        <v>65</v>
      </c>
      <c r="B70" s="30" t="s">
        <v>340</v>
      </c>
      <c r="C70" s="29">
        <v>274</v>
      </c>
      <c r="D70" s="29" t="s">
        <v>341</v>
      </c>
      <c r="E70" s="31" t="s">
        <v>367</v>
      </c>
      <c r="F70" s="29">
        <v>5434</v>
      </c>
      <c r="G70" s="29" t="s">
        <v>59</v>
      </c>
      <c r="H70" s="32">
        <v>46102</v>
      </c>
      <c r="I70" s="33">
        <v>46102</v>
      </c>
      <c r="J70" s="34" t="s">
        <v>71</v>
      </c>
      <c r="K70" s="35">
        <v>0.49305555555555558</v>
      </c>
      <c r="L70" s="35">
        <v>0.70833333333333337</v>
      </c>
      <c r="M70" s="36">
        <v>0.61805555555555558</v>
      </c>
      <c r="N70" s="35">
        <v>0.83333333333333337</v>
      </c>
      <c r="O70" s="37">
        <f>IF(N70&gt;M70,N70-M70,(N70+1)-M70)</f>
        <v>0.21527777777777779</v>
      </c>
      <c r="P70" s="29" t="s">
        <v>349</v>
      </c>
      <c r="Q70" s="29" t="s">
        <v>343</v>
      </c>
      <c r="R70" s="29" t="s">
        <v>350</v>
      </c>
      <c r="S70" s="38" t="s">
        <v>46</v>
      </c>
      <c r="T70" s="39" t="s">
        <v>73</v>
      </c>
      <c r="U70" s="39" t="s">
        <v>59</v>
      </c>
      <c r="V70" s="38" t="s">
        <v>104</v>
      </c>
      <c r="W70" s="40" t="s">
        <v>59</v>
      </c>
      <c r="X70" s="13" t="s">
        <v>59</v>
      </c>
      <c r="Y70" s="13" t="s">
        <v>59</v>
      </c>
      <c r="Z70" s="13" t="s">
        <v>59</v>
      </c>
      <c r="AA70" s="13" t="s">
        <v>59</v>
      </c>
      <c r="AB70" s="41" t="s">
        <v>59</v>
      </c>
      <c r="AC70" s="16">
        <v>6.5</v>
      </c>
      <c r="AD70" s="42" t="s">
        <v>59</v>
      </c>
      <c r="AE70" s="42" t="s">
        <v>59</v>
      </c>
      <c r="AF70" s="42" t="s">
        <v>59</v>
      </c>
      <c r="AG70" s="43" t="s">
        <v>59</v>
      </c>
      <c r="AH70" s="43" t="s">
        <v>59</v>
      </c>
      <c r="AI70" s="43" t="s">
        <v>59</v>
      </c>
      <c r="AJ70" s="17" t="s">
        <v>59</v>
      </c>
      <c r="AK70" s="17" t="s">
        <v>59</v>
      </c>
      <c r="AL70" s="17">
        <v>24.53129770992366</v>
      </c>
      <c r="AM70" s="17" t="s">
        <v>59</v>
      </c>
      <c r="AN70" s="17" t="s">
        <v>59</v>
      </c>
      <c r="AO70" s="44" t="s">
        <v>278</v>
      </c>
    </row>
    <row r="71" spans="1:41" ht="12" customHeight="1" x14ac:dyDescent="0.35">
      <c r="A71" s="29" t="s">
        <v>65</v>
      </c>
      <c r="B71" s="30" t="s">
        <v>340</v>
      </c>
      <c r="C71" s="29">
        <v>274</v>
      </c>
      <c r="D71" s="29" t="s">
        <v>341</v>
      </c>
      <c r="E71" s="31" t="s">
        <v>367</v>
      </c>
      <c r="F71" s="29">
        <v>5434</v>
      </c>
      <c r="G71" s="29" t="s">
        <v>59</v>
      </c>
      <c r="H71" s="32">
        <v>46103</v>
      </c>
      <c r="I71" s="33">
        <v>46103</v>
      </c>
      <c r="J71" s="34" t="s">
        <v>74</v>
      </c>
      <c r="K71" s="35">
        <v>0.49305555555555558</v>
      </c>
      <c r="L71" s="35">
        <v>0.70833333333333337</v>
      </c>
      <c r="M71" s="36">
        <v>0.61805555555555558</v>
      </c>
      <c r="N71" s="35">
        <v>0.83333333333333337</v>
      </c>
      <c r="O71" s="37">
        <f>IF(N71&gt;M71,N71-M71,(N71+1)-M71)</f>
        <v>0.21527777777777779</v>
      </c>
      <c r="P71" s="29" t="s">
        <v>342</v>
      </c>
      <c r="Q71" s="29" t="s">
        <v>343</v>
      </c>
      <c r="R71" s="29" t="s">
        <v>344</v>
      </c>
      <c r="S71" s="38" t="s">
        <v>46</v>
      </c>
      <c r="T71" s="39" t="s">
        <v>73</v>
      </c>
      <c r="U71" s="39" t="s">
        <v>59</v>
      </c>
      <c r="V71" s="38" t="s">
        <v>107</v>
      </c>
      <c r="W71" s="40" t="s">
        <v>59</v>
      </c>
      <c r="X71" s="13" t="s">
        <v>59</v>
      </c>
      <c r="Y71" s="13" t="s">
        <v>59</v>
      </c>
      <c r="Z71" s="13" t="s">
        <v>59</v>
      </c>
      <c r="AA71" s="13" t="s">
        <v>59</v>
      </c>
      <c r="AB71" s="41" t="s">
        <v>59</v>
      </c>
      <c r="AC71" s="16">
        <v>6.5</v>
      </c>
      <c r="AD71" s="42" t="s">
        <v>59</v>
      </c>
      <c r="AE71" s="42" t="s">
        <v>59</v>
      </c>
      <c r="AF71" s="42" t="s">
        <v>59</v>
      </c>
      <c r="AG71" s="43" t="s">
        <v>59</v>
      </c>
      <c r="AH71" s="43" t="s">
        <v>59</v>
      </c>
      <c r="AI71" s="43" t="s">
        <v>59</v>
      </c>
      <c r="AJ71" s="17" t="s">
        <v>59</v>
      </c>
      <c r="AK71" s="17" t="s">
        <v>59</v>
      </c>
      <c r="AL71" s="17">
        <v>24.53129770992366</v>
      </c>
      <c r="AM71" s="17" t="s">
        <v>59</v>
      </c>
      <c r="AN71" s="17" t="s">
        <v>59</v>
      </c>
      <c r="AO71" s="44" t="s">
        <v>278</v>
      </c>
    </row>
    <row r="72" spans="1:41" ht="12" customHeight="1" x14ac:dyDescent="0.35">
      <c r="A72" s="29" t="s">
        <v>65</v>
      </c>
      <c r="B72" s="30" t="s">
        <v>340</v>
      </c>
      <c r="C72" s="29">
        <v>274</v>
      </c>
      <c r="D72" s="29" t="s">
        <v>341</v>
      </c>
      <c r="E72" s="31" t="s">
        <v>367</v>
      </c>
      <c r="F72" s="29">
        <v>5434</v>
      </c>
      <c r="G72" s="29" t="s">
        <v>59</v>
      </c>
      <c r="H72" s="32">
        <v>46101</v>
      </c>
      <c r="I72" s="33">
        <v>46101</v>
      </c>
      <c r="J72" s="34" t="s">
        <v>79</v>
      </c>
      <c r="K72" s="35">
        <v>0.81944444444444442</v>
      </c>
      <c r="L72" s="35">
        <v>0.97916666666666663</v>
      </c>
      <c r="M72" s="36">
        <v>0.94444444444444442</v>
      </c>
      <c r="N72" s="35">
        <v>0.10416666666666667</v>
      </c>
      <c r="O72" s="37">
        <f>IF(N72&gt;M72,N72-M72,(N72+1)-M72)</f>
        <v>0.15972222222222232</v>
      </c>
      <c r="P72" s="29" t="s">
        <v>347</v>
      </c>
      <c r="Q72" s="29" t="s">
        <v>343</v>
      </c>
      <c r="R72" s="29" t="s">
        <v>348</v>
      </c>
      <c r="S72" s="38" t="s">
        <v>46</v>
      </c>
      <c r="T72" s="39" t="s">
        <v>73</v>
      </c>
      <c r="U72" s="39" t="s">
        <v>59</v>
      </c>
      <c r="V72" s="38" t="s">
        <v>100</v>
      </c>
      <c r="W72" s="40" t="s">
        <v>59</v>
      </c>
      <c r="X72" s="13" t="s">
        <v>59</v>
      </c>
      <c r="Y72" s="13" t="s">
        <v>59</v>
      </c>
      <c r="Z72" s="13" t="s">
        <v>59</v>
      </c>
      <c r="AA72" s="13" t="s">
        <v>59</v>
      </c>
      <c r="AB72" s="41" t="s">
        <v>59</v>
      </c>
      <c r="AC72" s="16">
        <v>7.6000000000000005</v>
      </c>
      <c r="AD72" s="42" t="s">
        <v>59</v>
      </c>
      <c r="AE72" s="42" t="s">
        <v>59</v>
      </c>
      <c r="AF72" s="42" t="s">
        <v>59</v>
      </c>
      <c r="AG72" s="43" t="s">
        <v>59</v>
      </c>
      <c r="AH72" s="43" t="s">
        <v>59</v>
      </c>
      <c r="AI72" s="43" t="s">
        <v>59</v>
      </c>
      <c r="AJ72" s="17" t="s">
        <v>59</v>
      </c>
      <c r="AK72" s="17" t="s">
        <v>59</v>
      </c>
      <c r="AL72" s="17">
        <v>40.885496183206101</v>
      </c>
      <c r="AM72" s="17" t="s">
        <v>59</v>
      </c>
      <c r="AN72" s="17" t="s">
        <v>59</v>
      </c>
      <c r="AO72" s="44" t="s">
        <v>278</v>
      </c>
    </row>
    <row r="73" spans="1:41" ht="12" customHeight="1" x14ac:dyDescent="0.35">
      <c r="A73" s="29" t="s">
        <v>65</v>
      </c>
      <c r="B73" s="30" t="s">
        <v>340</v>
      </c>
      <c r="C73" s="29">
        <v>274</v>
      </c>
      <c r="D73" s="29" t="s">
        <v>341</v>
      </c>
      <c r="E73" s="31" t="s">
        <v>367</v>
      </c>
      <c r="F73" s="29">
        <v>5434</v>
      </c>
      <c r="G73" s="29" t="s">
        <v>59</v>
      </c>
      <c r="H73" s="32">
        <v>46102</v>
      </c>
      <c r="I73" s="33">
        <v>46102</v>
      </c>
      <c r="J73" s="34" t="s">
        <v>71</v>
      </c>
      <c r="K73" s="35">
        <v>0.84027777777777779</v>
      </c>
      <c r="L73" s="35" t="s">
        <v>59</v>
      </c>
      <c r="M73" s="36">
        <v>0.96527777777777779</v>
      </c>
      <c r="N73" s="35">
        <v>0.125</v>
      </c>
      <c r="O73" s="37">
        <f>IF(N73&gt;M73,N73-M73,(N73+1)-M73)</f>
        <v>0.15972222222222221</v>
      </c>
      <c r="P73" s="29" t="s">
        <v>353</v>
      </c>
      <c r="Q73" s="29" t="s">
        <v>343</v>
      </c>
      <c r="R73" s="29" t="s">
        <v>354</v>
      </c>
      <c r="S73" s="38" t="s">
        <v>46</v>
      </c>
      <c r="T73" s="39" t="s">
        <v>73</v>
      </c>
      <c r="U73" s="39" t="s">
        <v>59</v>
      </c>
      <c r="V73" s="38" t="s">
        <v>104</v>
      </c>
      <c r="W73" s="40" t="s">
        <v>59</v>
      </c>
      <c r="X73" s="13" t="s">
        <v>59</v>
      </c>
      <c r="Y73" s="13" t="s">
        <v>59</v>
      </c>
      <c r="Z73" s="13" t="s">
        <v>59</v>
      </c>
      <c r="AA73" s="13" t="s">
        <v>59</v>
      </c>
      <c r="AB73" s="41" t="s">
        <v>59</v>
      </c>
      <c r="AC73" s="16">
        <v>8</v>
      </c>
      <c r="AD73" s="42" t="s">
        <v>59</v>
      </c>
      <c r="AE73" s="42" t="s">
        <v>59</v>
      </c>
      <c r="AF73" s="42" t="s">
        <v>59</v>
      </c>
      <c r="AG73" s="43" t="s">
        <v>59</v>
      </c>
      <c r="AH73" s="43" t="s">
        <v>59</v>
      </c>
      <c r="AI73" s="43" t="s">
        <v>59</v>
      </c>
      <c r="AJ73" s="17" t="s">
        <v>59</v>
      </c>
      <c r="AK73" s="17" t="s">
        <v>59</v>
      </c>
      <c r="AL73" s="17">
        <v>49.06259541984732</v>
      </c>
      <c r="AM73" s="17" t="s">
        <v>59</v>
      </c>
      <c r="AN73" s="17" t="s">
        <v>59</v>
      </c>
      <c r="AO73" s="44" t="s">
        <v>278</v>
      </c>
    </row>
    <row r="74" spans="1:41" ht="12" customHeight="1" x14ac:dyDescent="0.35">
      <c r="A74" s="29" t="s">
        <v>65</v>
      </c>
      <c r="B74" s="30" t="s">
        <v>340</v>
      </c>
      <c r="C74" s="29">
        <v>274</v>
      </c>
      <c r="D74" s="29" t="s">
        <v>341</v>
      </c>
      <c r="E74" s="31" t="s">
        <v>367</v>
      </c>
      <c r="F74" s="29">
        <v>5434</v>
      </c>
      <c r="G74" s="29" t="s">
        <v>59</v>
      </c>
      <c r="H74" s="32">
        <v>46103</v>
      </c>
      <c r="I74" s="33">
        <v>46103</v>
      </c>
      <c r="J74" s="34" t="s">
        <v>74</v>
      </c>
      <c r="K74" s="35">
        <v>0.8125</v>
      </c>
      <c r="L74" s="35">
        <v>2.4305555555555556E-2</v>
      </c>
      <c r="M74" s="36">
        <v>0.9375</v>
      </c>
      <c r="N74" s="35">
        <v>0.14930555555555555</v>
      </c>
      <c r="O74" s="37">
        <f>IF(N74&gt;M74,N74-M74,(N74+1)-M74)</f>
        <v>0.21180555555555558</v>
      </c>
      <c r="P74" s="29" t="s">
        <v>347</v>
      </c>
      <c r="Q74" s="29" t="s">
        <v>343</v>
      </c>
      <c r="R74" s="29" t="s">
        <v>348</v>
      </c>
      <c r="S74" s="38" t="s">
        <v>46</v>
      </c>
      <c r="T74" s="39" t="s">
        <v>73</v>
      </c>
      <c r="U74" s="39" t="s">
        <v>59</v>
      </c>
      <c r="V74" s="38" t="s">
        <v>107</v>
      </c>
      <c r="W74" s="40" t="s">
        <v>59</v>
      </c>
      <c r="X74" s="13" t="s">
        <v>59</v>
      </c>
      <c r="Y74" s="13" t="s">
        <v>59</v>
      </c>
      <c r="Z74" s="13" t="s">
        <v>59</v>
      </c>
      <c r="AA74" s="13" t="s">
        <v>59</v>
      </c>
      <c r="AB74" s="41" t="s">
        <v>59</v>
      </c>
      <c r="AC74" s="16">
        <v>8</v>
      </c>
      <c r="AD74" s="42" t="s">
        <v>59</v>
      </c>
      <c r="AE74" s="42" t="s">
        <v>59</v>
      </c>
      <c r="AF74" s="42" t="s">
        <v>59</v>
      </c>
      <c r="AG74" s="43" t="s">
        <v>59</v>
      </c>
      <c r="AH74" s="43" t="s">
        <v>59</v>
      </c>
      <c r="AI74" s="43" t="s">
        <v>59</v>
      </c>
      <c r="AJ74" s="17" t="s">
        <v>59</v>
      </c>
      <c r="AK74" s="17" t="s">
        <v>59</v>
      </c>
      <c r="AL74" s="17">
        <v>49.06259541984732</v>
      </c>
      <c r="AM74" s="17" t="s">
        <v>59</v>
      </c>
      <c r="AN74" s="17" t="s">
        <v>59</v>
      </c>
      <c r="AO74" s="44" t="s">
        <v>278</v>
      </c>
    </row>
    <row r="75" spans="1:41" ht="12" customHeight="1" x14ac:dyDescent="0.35">
      <c r="A75" s="29" t="s">
        <v>65</v>
      </c>
      <c r="B75" s="30" t="s">
        <v>340</v>
      </c>
      <c r="C75" s="29">
        <v>274</v>
      </c>
      <c r="D75" s="29" t="s">
        <v>341</v>
      </c>
      <c r="E75" s="31" t="s">
        <v>367</v>
      </c>
      <c r="F75" s="29">
        <v>5434</v>
      </c>
      <c r="G75" s="29" t="s">
        <v>59</v>
      </c>
      <c r="H75" s="32">
        <v>46101</v>
      </c>
      <c r="I75" s="33">
        <v>46101</v>
      </c>
      <c r="J75" s="34" t="s">
        <v>79</v>
      </c>
      <c r="K75" s="35">
        <v>0.77083333333333337</v>
      </c>
      <c r="L75" s="35">
        <v>0.81944444444444442</v>
      </c>
      <c r="M75" s="36">
        <v>0.89583333333333337</v>
      </c>
      <c r="N75" s="35">
        <v>0.94444444444444442</v>
      </c>
      <c r="O75" s="37">
        <f>IF(N75&gt;M75,N75-M75,(N75+1)-M75)</f>
        <v>4.8611111111111049E-2</v>
      </c>
      <c r="P75" s="29" t="s">
        <v>345</v>
      </c>
      <c r="Q75" s="29" t="s">
        <v>343</v>
      </c>
      <c r="R75" s="29" t="s">
        <v>346</v>
      </c>
      <c r="S75" s="38" t="s">
        <v>46</v>
      </c>
      <c r="T75" s="39" t="s">
        <v>73</v>
      </c>
      <c r="U75" s="39" t="s">
        <v>59</v>
      </c>
      <c r="V75" s="38" t="s">
        <v>100</v>
      </c>
      <c r="W75" s="40" t="s">
        <v>59</v>
      </c>
      <c r="X75" s="13" t="s">
        <v>59</v>
      </c>
      <c r="Y75" s="13" t="s">
        <v>59</v>
      </c>
      <c r="Z75" s="13" t="s">
        <v>59</v>
      </c>
      <c r="AA75" s="13" t="s">
        <v>59</v>
      </c>
      <c r="AB75" s="41" t="s">
        <v>59</v>
      </c>
      <c r="AC75" s="16">
        <v>9.5</v>
      </c>
      <c r="AD75" s="42" t="s">
        <v>59</v>
      </c>
      <c r="AE75" s="42" t="s">
        <v>59</v>
      </c>
      <c r="AF75" s="42" t="s">
        <v>59</v>
      </c>
      <c r="AG75" s="43" t="s">
        <v>59</v>
      </c>
      <c r="AH75" s="43" t="s">
        <v>59</v>
      </c>
      <c r="AI75" s="43" t="s">
        <v>59</v>
      </c>
      <c r="AJ75" s="17" t="s">
        <v>59</v>
      </c>
      <c r="AK75" s="17" t="s">
        <v>59</v>
      </c>
      <c r="AL75" s="17">
        <v>40.885496183206101</v>
      </c>
      <c r="AM75" s="17" t="s">
        <v>59</v>
      </c>
      <c r="AN75" s="17" t="s">
        <v>59</v>
      </c>
      <c r="AO75" s="44" t="s">
        <v>278</v>
      </c>
    </row>
    <row r="76" spans="1:41" ht="12" customHeight="1" x14ac:dyDescent="0.35">
      <c r="A76" s="29" t="s">
        <v>65</v>
      </c>
      <c r="B76" s="30" t="s">
        <v>340</v>
      </c>
      <c r="C76" s="29">
        <v>274</v>
      </c>
      <c r="D76" s="29" t="s">
        <v>341</v>
      </c>
      <c r="E76" s="31" t="s">
        <v>367</v>
      </c>
      <c r="F76" s="29">
        <v>5434</v>
      </c>
      <c r="G76" s="29" t="s">
        <v>59</v>
      </c>
      <c r="H76" s="32">
        <v>46102</v>
      </c>
      <c r="I76" s="33">
        <v>46102</v>
      </c>
      <c r="J76" s="34" t="s">
        <v>71</v>
      </c>
      <c r="K76" s="35">
        <v>0.75</v>
      </c>
      <c r="L76" s="35">
        <v>0.76388888888888884</v>
      </c>
      <c r="M76" s="36">
        <v>0.875</v>
      </c>
      <c r="N76" s="35">
        <v>0.88888888888888884</v>
      </c>
      <c r="O76" s="37">
        <f>IF(N76&gt;M76,N76-M76,(N76+1)-M76)</f>
        <v>1.388888888888884E-2</v>
      </c>
      <c r="P76" s="29" t="s">
        <v>351</v>
      </c>
      <c r="Q76" s="29" t="s">
        <v>343</v>
      </c>
      <c r="R76" s="29" t="s">
        <v>352</v>
      </c>
      <c r="S76" s="38" t="s">
        <v>46</v>
      </c>
      <c r="T76" s="39" t="s">
        <v>73</v>
      </c>
      <c r="U76" s="39" t="s">
        <v>59</v>
      </c>
      <c r="V76" s="38" t="s">
        <v>104</v>
      </c>
      <c r="W76" s="40" t="s">
        <v>59</v>
      </c>
      <c r="X76" s="13" t="s">
        <v>59</v>
      </c>
      <c r="Y76" s="13" t="s">
        <v>59</v>
      </c>
      <c r="Z76" s="13" t="s">
        <v>59</v>
      </c>
      <c r="AA76" s="13" t="s">
        <v>59</v>
      </c>
      <c r="AB76" s="41" t="s">
        <v>59</v>
      </c>
      <c r="AC76" s="16">
        <v>10</v>
      </c>
      <c r="AD76" s="42" t="s">
        <v>59</v>
      </c>
      <c r="AE76" s="42" t="s">
        <v>59</v>
      </c>
      <c r="AF76" s="42" t="s">
        <v>59</v>
      </c>
      <c r="AG76" s="43" t="s">
        <v>59</v>
      </c>
      <c r="AH76" s="43" t="s">
        <v>59</v>
      </c>
      <c r="AI76" s="43" t="s">
        <v>59</v>
      </c>
      <c r="AJ76" s="17" t="s">
        <v>59</v>
      </c>
      <c r="AK76" s="17" t="s">
        <v>59</v>
      </c>
      <c r="AL76" s="17">
        <v>49.06259541984732</v>
      </c>
      <c r="AM76" s="17" t="s">
        <v>59</v>
      </c>
      <c r="AN76" s="17" t="s">
        <v>59</v>
      </c>
      <c r="AO76" s="44" t="s">
        <v>278</v>
      </c>
    </row>
    <row r="77" spans="1:41" ht="12" customHeight="1" x14ac:dyDescent="0.35">
      <c r="A77" s="29" t="s">
        <v>65</v>
      </c>
      <c r="B77" s="30" t="s">
        <v>327</v>
      </c>
      <c r="C77" s="29">
        <v>60</v>
      </c>
      <c r="D77" s="29" t="s">
        <v>66</v>
      </c>
      <c r="E77" s="31" t="s">
        <v>378</v>
      </c>
      <c r="F77" s="29">
        <v>33620</v>
      </c>
      <c r="G77" s="29"/>
      <c r="H77" s="32">
        <v>46103</v>
      </c>
      <c r="I77" s="33">
        <v>46103</v>
      </c>
      <c r="J77" s="34">
        <v>46103</v>
      </c>
      <c r="K77" s="35">
        <v>0.26701388888888888</v>
      </c>
      <c r="L77" s="35">
        <v>0.30982638888888892</v>
      </c>
      <c r="M77" s="36">
        <v>0.3503472222222222</v>
      </c>
      <c r="N77" s="35">
        <v>0.39315972222222223</v>
      </c>
      <c r="O77" s="37">
        <v>4.2812500000000031E-2</v>
      </c>
      <c r="P77" s="29" t="s">
        <v>226</v>
      </c>
      <c r="Q77" s="29" t="s">
        <v>59</v>
      </c>
      <c r="R77" s="29" t="s">
        <v>226</v>
      </c>
      <c r="S77" s="38" t="s">
        <v>48</v>
      </c>
      <c r="T77" s="39" t="s">
        <v>73</v>
      </c>
      <c r="U77" s="39" t="s">
        <v>59</v>
      </c>
      <c r="V77" s="38" t="s">
        <v>104</v>
      </c>
      <c r="W77" s="40" t="s">
        <v>59</v>
      </c>
      <c r="X77" s="13" t="s">
        <v>59</v>
      </c>
      <c r="Y77" s="13" t="s">
        <v>59</v>
      </c>
      <c r="Z77" s="13" t="s">
        <v>59</v>
      </c>
      <c r="AA77" s="13"/>
      <c r="AB77" s="41"/>
      <c r="AC77" s="16">
        <v>14.475805892014124</v>
      </c>
      <c r="AD77" s="42"/>
      <c r="AE77" s="42"/>
      <c r="AF77" s="42"/>
      <c r="AG77" s="43"/>
      <c r="AH77" s="43"/>
      <c r="AI77" s="43"/>
      <c r="AJ77" s="17"/>
      <c r="AK77" s="17"/>
      <c r="AL77" s="17">
        <v>26.717557251908392</v>
      </c>
      <c r="AM77" s="17"/>
      <c r="AN77" s="17" t="s">
        <v>59</v>
      </c>
      <c r="AO77" s="44" t="s">
        <v>375</v>
      </c>
    </row>
    <row r="78" spans="1:41" ht="12" customHeight="1" x14ac:dyDescent="0.35">
      <c r="A78" s="29" t="s">
        <v>65</v>
      </c>
      <c r="B78" s="30" t="s">
        <v>327</v>
      </c>
      <c r="C78" s="29">
        <v>60</v>
      </c>
      <c r="D78" s="29" t="s">
        <v>66</v>
      </c>
      <c r="E78" s="31" t="s">
        <v>377</v>
      </c>
      <c r="F78" s="29">
        <v>33619</v>
      </c>
      <c r="G78" s="29"/>
      <c r="H78" s="32">
        <v>46103</v>
      </c>
      <c r="I78" s="33">
        <v>46103</v>
      </c>
      <c r="J78" s="34">
        <v>46103</v>
      </c>
      <c r="K78" s="35">
        <v>0.68760416666666668</v>
      </c>
      <c r="L78" s="35">
        <v>0.89063657407407404</v>
      </c>
      <c r="M78" s="36">
        <v>0.77093750000000005</v>
      </c>
      <c r="N78" s="35">
        <v>0.97396990740740741</v>
      </c>
      <c r="O78" s="37">
        <v>0.20303240740740736</v>
      </c>
      <c r="P78" s="29" t="s">
        <v>225</v>
      </c>
      <c r="Q78" s="29" t="s">
        <v>59</v>
      </c>
      <c r="R78" s="29" t="s">
        <v>225</v>
      </c>
      <c r="S78" s="38" t="s">
        <v>46</v>
      </c>
      <c r="T78" s="39" t="s">
        <v>73</v>
      </c>
      <c r="U78" s="39" t="s">
        <v>59</v>
      </c>
      <c r="V78" s="38" t="s">
        <v>107</v>
      </c>
      <c r="W78" s="40" t="s">
        <v>59</v>
      </c>
      <c r="X78" s="13" t="s">
        <v>59</v>
      </c>
      <c r="Y78" s="13" t="s">
        <v>59</v>
      </c>
      <c r="Z78" s="13" t="s">
        <v>59</v>
      </c>
      <c r="AA78" s="13"/>
      <c r="AB78" s="41"/>
      <c r="AC78" s="16">
        <v>14.475805892014124</v>
      </c>
      <c r="AD78" s="42"/>
      <c r="AE78" s="42"/>
      <c r="AF78" s="42"/>
      <c r="AG78" s="43"/>
      <c r="AH78" s="43"/>
      <c r="AI78" s="43"/>
      <c r="AJ78" s="17"/>
      <c r="AK78" s="17"/>
      <c r="AL78" s="17">
        <v>128.24427480916026</v>
      </c>
      <c r="AM78" s="17"/>
      <c r="AN78" s="17" t="s">
        <v>59</v>
      </c>
      <c r="AO78" s="44" t="s">
        <v>375</v>
      </c>
    </row>
    <row r="79" spans="1:41" ht="12" customHeight="1" x14ac:dyDescent="0.35">
      <c r="A79" s="29" t="s">
        <v>65</v>
      </c>
      <c r="B79" s="30" t="s">
        <v>327</v>
      </c>
      <c r="C79" s="29">
        <v>60</v>
      </c>
      <c r="D79" s="29" t="s">
        <v>66</v>
      </c>
      <c r="E79" s="31" t="s">
        <v>378</v>
      </c>
      <c r="F79" s="29">
        <v>33620</v>
      </c>
      <c r="G79" s="29"/>
      <c r="H79" s="32">
        <v>46106</v>
      </c>
      <c r="I79" s="33">
        <v>46106</v>
      </c>
      <c r="J79" s="34">
        <v>46106</v>
      </c>
      <c r="K79" s="35">
        <v>0.58333333333333337</v>
      </c>
      <c r="L79" s="35">
        <v>0.66282407407407407</v>
      </c>
      <c r="M79" s="36">
        <v>0.66666666666666663</v>
      </c>
      <c r="N79" s="35">
        <v>0.74615740740740744</v>
      </c>
      <c r="O79" s="37">
        <v>7.9490740740740806E-2</v>
      </c>
      <c r="P79" s="29" t="s">
        <v>227</v>
      </c>
      <c r="Q79" s="29" t="s">
        <v>59</v>
      </c>
      <c r="R79" s="29" t="s">
        <v>227</v>
      </c>
      <c r="S79" s="38" t="s">
        <v>48</v>
      </c>
      <c r="T79" s="39" t="s">
        <v>73</v>
      </c>
      <c r="U79" s="39" t="s">
        <v>59</v>
      </c>
      <c r="V79" s="38" t="s">
        <v>107</v>
      </c>
      <c r="W79" s="40" t="s">
        <v>59</v>
      </c>
      <c r="X79" s="13" t="s">
        <v>59</v>
      </c>
      <c r="Y79" s="13" t="s">
        <v>59</v>
      </c>
      <c r="Z79" s="13" t="s">
        <v>59</v>
      </c>
      <c r="AA79" s="13"/>
      <c r="AB79" s="41"/>
      <c r="AC79" s="16">
        <v>14.557130644216448</v>
      </c>
      <c r="AD79" s="42"/>
      <c r="AE79" s="42"/>
      <c r="AF79" s="42"/>
      <c r="AG79" s="43"/>
      <c r="AH79" s="43"/>
      <c r="AI79" s="43"/>
      <c r="AJ79" s="17"/>
      <c r="AK79" s="17"/>
      <c r="AL79" s="17">
        <v>22.264631043256994</v>
      </c>
      <c r="AM79" s="17"/>
      <c r="AN79" s="17" t="s">
        <v>59</v>
      </c>
      <c r="AO79" s="44" t="s">
        <v>375</v>
      </c>
    </row>
    <row r="80" spans="1:41" ht="12" customHeight="1" x14ac:dyDescent="0.35">
      <c r="A80" s="29" t="s">
        <v>65</v>
      </c>
      <c r="B80" s="30" t="s">
        <v>327</v>
      </c>
      <c r="C80" s="29">
        <v>60</v>
      </c>
      <c r="D80" s="29" t="s">
        <v>66</v>
      </c>
      <c r="E80" s="31" t="s">
        <v>377</v>
      </c>
      <c r="F80" s="29">
        <v>33619</v>
      </c>
      <c r="G80" s="29"/>
      <c r="H80" s="32">
        <v>46103</v>
      </c>
      <c r="I80" s="33">
        <v>46103</v>
      </c>
      <c r="J80" s="34">
        <v>46103</v>
      </c>
      <c r="K80" s="35">
        <v>0.33244212962962966</v>
      </c>
      <c r="L80" s="35">
        <v>0.56887731481481485</v>
      </c>
      <c r="M80" s="36">
        <v>0.41577546296296297</v>
      </c>
      <c r="N80" s="35">
        <v>0.65221064814814811</v>
      </c>
      <c r="O80" s="37">
        <v>0.23643518518518514</v>
      </c>
      <c r="P80" s="29" t="s">
        <v>225</v>
      </c>
      <c r="Q80" s="29" t="s">
        <v>59</v>
      </c>
      <c r="R80" s="29" t="s">
        <v>225</v>
      </c>
      <c r="S80" s="38" t="s">
        <v>46</v>
      </c>
      <c r="T80" s="39" t="s">
        <v>73</v>
      </c>
      <c r="U80" s="39" t="s">
        <v>59</v>
      </c>
      <c r="V80" s="38" t="s">
        <v>107</v>
      </c>
      <c r="W80" s="40" t="s">
        <v>59</v>
      </c>
      <c r="X80" s="13" t="s">
        <v>59</v>
      </c>
      <c r="Y80" s="13" t="s">
        <v>59</v>
      </c>
      <c r="Z80" s="13" t="s">
        <v>59</v>
      </c>
      <c r="AA80" s="13"/>
      <c r="AB80" s="41"/>
      <c r="AC80" s="16">
        <v>15.451702918442042</v>
      </c>
      <c r="AD80" s="42"/>
      <c r="AE80" s="42"/>
      <c r="AF80" s="42"/>
      <c r="AG80" s="43"/>
      <c r="AH80" s="43"/>
      <c r="AI80" s="43"/>
      <c r="AJ80" s="17"/>
      <c r="AK80" s="17"/>
      <c r="AL80" s="17">
        <v>64.12213740458013</v>
      </c>
      <c r="AM80" s="17"/>
      <c r="AN80" s="17" t="s">
        <v>59</v>
      </c>
      <c r="AO80" s="44" t="s">
        <v>375</v>
      </c>
    </row>
    <row r="81" spans="1:41" ht="12" customHeight="1" x14ac:dyDescent="0.35">
      <c r="A81" s="29" t="s">
        <v>96</v>
      </c>
      <c r="B81" s="30" t="s">
        <v>297</v>
      </c>
      <c r="C81" s="29">
        <v>70</v>
      </c>
      <c r="D81" s="29" t="s">
        <v>298</v>
      </c>
      <c r="E81" s="31" t="s">
        <v>299</v>
      </c>
      <c r="F81" s="29">
        <v>1178</v>
      </c>
      <c r="G81" s="29" t="s">
        <v>59</v>
      </c>
      <c r="H81" s="32">
        <v>46101</v>
      </c>
      <c r="I81" s="33">
        <v>46101</v>
      </c>
      <c r="J81" s="34" t="s">
        <v>79</v>
      </c>
      <c r="K81" s="35">
        <v>0.375</v>
      </c>
      <c r="L81" s="35">
        <v>0.54166666666666663</v>
      </c>
      <c r="M81" s="36">
        <v>0.45833333333333331</v>
      </c>
      <c r="N81" s="35">
        <v>0.625</v>
      </c>
      <c r="O81" s="37">
        <f>IF(N81&gt;M81,N81-M81,(N81+1)-M81)</f>
        <v>0.16666666666666669</v>
      </c>
      <c r="P81" s="29" t="s">
        <v>300</v>
      </c>
      <c r="Q81" s="29" t="s">
        <v>301</v>
      </c>
      <c r="R81" s="29" t="s">
        <v>302</v>
      </c>
      <c r="S81" s="38" t="s">
        <v>46</v>
      </c>
      <c r="T81" s="39" t="s">
        <v>73</v>
      </c>
      <c r="U81" s="39" t="s">
        <v>59</v>
      </c>
      <c r="V81" s="38" t="s">
        <v>100</v>
      </c>
      <c r="W81" s="40" t="s">
        <v>59</v>
      </c>
      <c r="X81" s="13" t="s">
        <v>59</v>
      </c>
      <c r="Y81" s="13" t="s">
        <v>59</v>
      </c>
      <c r="Z81" s="13" t="s">
        <v>59</v>
      </c>
      <c r="AA81" s="13" t="s">
        <v>59</v>
      </c>
      <c r="AB81" s="41" t="s">
        <v>59</v>
      </c>
      <c r="AC81" s="16">
        <v>16.672499999999999</v>
      </c>
      <c r="AD81" s="42" t="s">
        <v>59</v>
      </c>
      <c r="AE81" s="42" t="s">
        <v>59</v>
      </c>
      <c r="AF81" s="42" t="s">
        <v>59</v>
      </c>
      <c r="AG81" s="43" t="s">
        <v>59</v>
      </c>
      <c r="AH81" s="43" t="s">
        <v>59</v>
      </c>
      <c r="AI81" s="43" t="s">
        <v>59</v>
      </c>
      <c r="AJ81" s="17" t="s">
        <v>59</v>
      </c>
      <c r="AK81" s="17" t="s">
        <v>59</v>
      </c>
      <c r="AL81" s="17">
        <v>4</v>
      </c>
      <c r="AM81" s="17" t="s">
        <v>59</v>
      </c>
      <c r="AN81" s="17" t="s">
        <v>59</v>
      </c>
      <c r="AO81" s="44" t="s">
        <v>278</v>
      </c>
    </row>
    <row r="82" spans="1:41" ht="12" customHeight="1" x14ac:dyDescent="0.35">
      <c r="A82" s="29" t="s">
        <v>96</v>
      </c>
      <c r="B82" s="30" t="s">
        <v>297</v>
      </c>
      <c r="C82" s="29">
        <v>70</v>
      </c>
      <c r="D82" s="29" t="s">
        <v>298</v>
      </c>
      <c r="E82" s="31" t="s">
        <v>303</v>
      </c>
      <c r="F82" s="29">
        <v>4027</v>
      </c>
      <c r="G82" s="29" t="s">
        <v>59</v>
      </c>
      <c r="H82" s="32">
        <v>46102</v>
      </c>
      <c r="I82" s="33">
        <v>46102</v>
      </c>
      <c r="J82" s="34" t="s">
        <v>71</v>
      </c>
      <c r="K82" s="35">
        <v>0.375</v>
      </c>
      <c r="L82" s="35">
        <v>0.54166666666666663</v>
      </c>
      <c r="M82" s="36">
        <v>0.45833333333333331</v>
      </c>
      <c r="N82" s="35">
        <v>0.625</v>
      </c>
      <c r="O82" s="37">
        <f>IF(N82&gt;M82,N82-M82,(N82+1)-M82)</f>
        <v>0.16666666666666669</v>
      </c>
      <c r="P82" s="29" t="s">
        <v>300</v>
      </c>
      <c r="Q82" s="29" t="s">
        <v>59</v>
      </c>
      <c r="R82" s="29" t="s">
        <v>300</v>
      </c>
      <c r="S82" s="38" t="s">
        <v>46</v>
      </c>
      <c r="T82" s="39" t="s">
        <v>73</v>
      </c>
      <c r="U82" s="39" t="s">
        <v>59</v>
      </c>
      <c r="V82" s="38" t="s">
        <v>104</v>
      </c>
      <c r="W82" s="40" t="s">
        <v>59</v>
      </c>
      <c r="X82" s="13" t="s">
        <v>59</v>
      </c>
      <c r="Y82" s="13" t="s">
        <v>59</v>
      </c>
      <c r="Z82" s="13" t="s">
        <v>59</v>
      </c>
      <c r="AA82" s="13" t="s">
        <v>59</v>
      </c>
      <c r="AB82" s="41" t="s">
        <v>59</v>
      </c>
      <c r="AC82" s="16">
        <v>17.55</v>
      </c>
      <c r="AD82" s="42" t="s">
        <v>59</v>
      </c>
      <c r="AE82" s="42" t="s">
        <v>59</v>
      </c>
      <c r="AF82" s="42" t="s">
        <v>59</v>
      </c>
      <c r="AG82" s="43" t="s">
        <v>59</v>
      </c>
      <c r="AH82" s="43" t="s">
        <v>59</v>
      </c>
      <c r="AI82" s="43" t="s">
        <v>59</v>
      </c>
      <c r="AJ82" s="17" t="s">
        <v>59</v>
      </c>
      <c r="AK82" s="17" t="s">
        <v>59</v>
      </c>
      <c r="AL82" s="17">
        <v>0.95999999999999985</v>
      </c>
      <c r="AM82" s="17" t="s">
        <v>59</v>
      </c>
      <c r="AN82" s="17" t="s">
        <v>59</v>
      </c>
      <c r="AO82" s="44" t="s">
        <v>278</v>
      </c>
    </row>
    <row r="83" spans="1:41" ht="12" customHeight="1" x14ac:dyDescent="0.35">
      <c r="A83" s="29" t="s">
        <v>65</v>
      </c>
      <c r="B83" s="30" t="s">
        <v>327</v>
      </c>
      <c r="C83" s="29">
        <v>60</v>
      </c>
      <c r="D83" s="29" t="s">
        <v>66</v>
      </c>
      <c r="E83" s="31" t="s">
        <v>378</v>
      </c>
      <c r="F83" s="29">
        <v>33620</v>
      </c>
      <c r="G83" s="29"/>
      <c r="H83" s="32">
        <v>46105</v>
      </c>
      <c r="I83" s="33">
        <v>46105</v>
      </c>
      <c r="J83" s="34">
        <v>46105</v>
      </c>
      <c r="K83" s="35">
        <v>0.60415509259259259</v>
      </c>
      <c r="L83" s="35">
        <v>0.64587962962962964</v>
      </c>
      <c r="M83" s="36">
        <v>0.68748842592592596</v>
      </c>
      <c r="N83" s="35">
        <v>0.72921296296296301</v>
      </c>
      <c r="O83" s="37">
        <v>4.1724537037037046E-2</v>
      </c>
      <c r="P83" s="29" t="s">
        <v>223</v>
      </c>
      <c r="Q83" s="29" t="s">
        <v>59</v>
      </c>
      <c r="R83" s="29" t="s">
        <v>223</v>
      </c>
      <c r="S83" s="38" t="s">
        <v>48</v>
      </c>
      <c r="T83" s="39" t="s">
        <v>73</v>
      </c>
      <c r="U83" s="39" t="s">
        <v>59</v>
      </c>
      <c r="V83" s="38" t="s">
        <v>107</v>
      </c>
      <c r="W83" s="40" t="s">
        <v>59</v>
      </c>
      <c r="X83" s="13" t="s">
        <v>59</v>
      </c>
      <c r="Y83" s="13" t="s">
        <v>59</v>
      </c>
      <c r="Z83" s="13" t="s">
        <v>59</v>
      </c>
      <c r="AA83" s="13"/>
      <c r="AB83" s="41"/>
      <c r="AC83" s="16">
        <v>17.972770236714165</v>
      </c>
      <c r="AD83" s="42"/>
      <c r="AE83" s="42"/>
      <c r="AF83" s="42"/>
      <c r="AG83" s="43"/>
      <c r="AH83" s="43"/>
      <c r="AI83" s="43"/>
      <c r="AJ83" s="17"/>
      <c r="AK83" s="17"/>
      <c r="AL83" s="17">
        <v>22.264631043256994</v>
      </c>
      <c r="AM83" s="17"/>
      <c r="AN83" s="17" t="s">
        <v>59</v>
      </c>
      <c r="AO83" s="44" t="s">
        <v>375</v>
      </c>
    </row>
    <row r="84" spans="1:41" ht="12" customHeight="1" x14ac:dyDescent="0.35">
      <c r="A84" s="29" t="s">
        <v>96</v>
      </c>
      <c r="B84" s="30" t="s">
        <v>297</v>
      </c>
      <c r="C84" s="29">
        <v>70</v>
      </c>
      <c r="D84" s="29" t="s">
        <v>298</v>
      </c>
      <c r="E84" s="31" t="s">
        <v>303</v>
      </c>
      <c r="F84" s="29">
        <v>4027</v>
      </c>
      <c r="G84" s="29" t="s">
        <v>59</v>
      </c>
      <c r="H84" s="32">
        <v>46102</v>
      </c>
      <c r="I84" s="33">
        <v>46102</v>
      </c>
      <c r="J84" s="34" t="s">
        <v>71</v>
      </c>
      <c r="K84" s="35">
        <v>0.72222222222222221</v>
      </c>
      <c r="L84" s="35">
        <v>0.85416666666666663</v>
      </c>
      <c r="M84" s="36">
        <v>0.80555555555555558</v>
      </c>
      <c r="N84" s="35">
        <v>0.9375</v>
      </c>
      <c r="O84" s="37">
        <f>IF(N84&gt;M84,N84-M84,(N84+1)-M84)</f>
        <v>0.13194444444444442</v>
      </c>
      <c r="P84" s="29" t="s">
        <v>300</v>
      </c>
      <c r="Q84" s="29" t="s">
        <v>59</v>
      </c>
      <c r="R84" s="29" t="s">
        <v>300</v>
      </c>
      <c r="S84" s="38" t="s">
        <v>46</v>
      </c>
      <c r="T84" s="39" t="s">
        <v>73</v>
      </c>
      <c r="U84" s="39" t="s">
        <v>59</v>
      </c>
      <c r="V84" s="38" t="s">
        <v>104</v>
      </c>
      <c r="W84" s="40" t="s">
        <v>59</v>
      </c>
      <c r="X84" s="13" t="s">
        <v>59</v>
      </c>
      <c r="Y84" s="13" t="s">
        <v>59</v>
      </c>
      <c r="Z84" s="13" t="s">
        <v>59</v>
      </c>
      <c r="AA84" s="13" t="s">
        <v>59</v>
      </c>
      <c r="AB84" s="41" t="s">
        <v>59</v>
      </c>
      <c r="AC84" s="16">
        <v>27</v>
      </c>
      <c r="AD84" s="42" t="s">
        <v>59</v>
      </c>
      <c r="AE84" s="42" t="s">
        <v>59</v>
      </c>
      <c r="AF84" s="42" t="s">
        <v>59</v>
      </c>
      <c r="AG84" s="43" t="s">
        <v>59</v>
      </c>
      <c r="AH84" s="43" t="s">
        <v>59</v>
      </c>
      <c r="AI84" s="43" t="s">
        <v>59</v>
      </c>
      <c r="AJ84" s="17" t="s">
        <v>59</v>
      </c>
      <c r="AK84" s="17" t="s">
        <v>59</v>
      </c>
      <c r="AL84" s="17">
        <v>1.9199999999999997</v>
      </c>
      <c r="AM84" s="17" t="s">
        <v>59</v>
      </c>
      <c r="AN84" s="17" t="s">
        <v>59</v>
      </c>
      <c r="AO84" s="44" t="s">
        <v>278</v>
      </c>
    </row>
    <row r="85" spans="1:41" ht="12" customHeight="1" x14ac:dyDescent="0.35">
      <c r="A85" s="29" t="s">
        <v>96</v>
      </c>
      <c r="B85" s="30" t="s">
        <v>297</v>
      </c>
      <c r="C85" s="29">
        <v>70</v>
      </c>
      <c r="D85" s="29" t="s">
        <v>298</v>
      </c>
      <c r="E85" s="31" t="s">
        <v>303</v>
      </c>
      <c r="F85" s="29">
        <v>4027</v>
      </c>
      <c r="G85" s="29" t="s">
        <v>59</v>
      </c>
      <c r="H85" s="32">
        <v>46103</v>
      </c>
      <c r="I85" s="33">
        <v>46103</v>
      </c>
      <c r="J85" s="34" t="s">
        <v>74</v>
      </c>
      <c r="K85" s="35">
        <v>0.69097222222222221</v>
      </c>
      <c r="L85" s="35">
        <v>0.83333333333333337</v>
      </c>
      <c r="M85" s="36">
        <v>0.77430555555555558</v>
      </c>
      <c r="N85" s="35">
        <v>0.91666666666666663</v>
      </c>
      <c r="O85" s="37">
        <f>IF(N85&gt;M85,N85-M85,(N85+1)-M85)</f>
        <v>0.14236111111111105</v>
      </c>
      <c r="P85" s="29" t="s">
        <v>300</v>
      </c>
      <c r="Q85" s="29" t="s">
        <v>304</v>
      </c>
      <c r="R85" s="29" t="s">
        <v>305</v>
      </c>
      <c r="S85" s="38" t="s">
        <v>46</v>
      </c>
      <c r="T85" s="39" t="s">
        <v>73</v>
      </c>
      <c r="U85" s="39" t="s">
        <v>59</v>
      </c>
      <c r="V85" s="38" t="s">
        <v>107</v>
      </c>
      <c r="W85" s="40" t="s">
        <v>59</v>
      </c>
      <c r="X85" s="13" t="s">
        <v>59</v>
      </c>
      <c r="Y85" s="13" t="s">
        <v>59</v>
      </c>
      <c r="Z85" s="13" t="s">
        <v>59</v>
      </c>
      <c r="AA85" s="13" t="s">
        <v>59</v>
      </c>
      <c r="AB85" s="41" t="s">
        <v>59</v>
      </c>
      <c r="AC85" s="16">
        <v>27</v>
      </c>
      <c r="AD85" s="42" t="s">
        <v>59</v>
      </c>
      <c r="AE85" s="42" t="s">
        <v>59</v>
      </c>
      <c r="AF85" s="42" t="s">
        <v>59</v>
      </c>
      <c r="AG85" s="43" t="s">
        <v>59</v>
      </c>
      <c r="AH85" s="43" t="s">
        <v>59</v>
      </c>
      <c r="AI85" s="43" t="s">
        <v>59</v>
      </c>
      <c r="AJ85" s="17" t="s">
        <v>59</v>
      </c>
      <c r="AK85" s="17" t="s">
        <v>59</v>
      </c>
      <c r="AL85" s="17">
        <v>1.9199999999999997</v>
      </c>
      <c r="AM85" s="17" t="s">
        <v>59</v>
      </c>
      <c r="AN85" s="17" t="s">
        <v>59</v>
      </c>
      <c r="AO85" s="44" t="s">
        <v>278</v>
      </c>
    </row>
    <row r="86" spans="1:41" ht="12" customHeight="1" x14ac:dyDescent="0.35">
      <c r="A86" s="29" t="s">
        <v>65</v>
      </c>
      <c r="B86" s="30" t="s">
        <v>327</v>
      </c>
      <c r="C86" s="29">
        <v>60</v>
      </c>
      <c r="D86" s="29" t="s">
        <v>66</v>
      </c>
      <c r="E86" s="31" t="s">
        <v>377</v>
      </c>
      <c r="F86" s="29">
        <v>33619</v>
      </c>
      <c r="G86" s="29"/>
      <c r="H86" s="32">
        <v>46102</v>
      </c>
      <c r="I86" s="33">
        <v>46102</v>
      </c>
      <c r="J86" s="34">
        <v>46102</v>
      </c>
      <c r="K86" s="35">
        <v>0.70427083333333329</v>
      </c>
      <c r="L86" s="35">
        <v>0.87962962962962965</v>
      </c>
      <c r="M86" s="36">
        <v>0.78760416666666666</v>
      </c>
      <c r="N86" s="35">
        <v>0.96296296296296291</v>
      </c>
      <c r="O86" s="37">
        <v>0.17535879629629625</v>
      </c>
      <c r="P86" s="29" t="s">
        <v>225</v>
      </c>
      <c r="Q86" s="29" t="s">
        <v>59</v>
      </c>
      <c r="R86" s="29" t="s">
        <v>225</v>
      </c>
      <c r="S86" s="38" t="s">
        <v>46</v>
      </c>
      <c r="T86" s="39" t="s">
        <v>73</v>
      </c>
      <c r="U86" s="39" t="s">
        <v>59</v>
      </c>
      <c r="V86" s="38" t="s">
        <v>104</v>
      </c>
      <c r="W86" s="40" t="s">
        <v>59</v>
      </c>
      <c r="X86" s="13" t="s">
        <v>59</v>
      </c>
      <c r="Y86" s="13" t="s">
        <v>59</v>
      </c>
      <c r="Z86" s="13" t="s">
        <v>59</v>
      </c>
      <c r="AA86" s="13"/>
      <c r="AB86" s="41"/>
      <c r="AC86" s="16">
        <v>27.73174050099335</v>
      </c>
      <c r="AD86" s="42"/>
      <c r="AE86" s="42"/>
      <c r="AF86" s="42"/>
      <c r="AG86" s="43"/>
      <c r="AH86" s="43"/>
      <c r="AI86" s="43"/>
      <c r="AJ86" s="17"/>
      <c r="AK86" s="17"/>
      <c r="AL86" s="17">
        <v>128.24427480916026</v>
      </c>
      <c r="AM86" s="17"/>
      <c r="AN86" s="17" t="s">
        <v>59</v>
      </c>
      <c r="AO86" s="44" t="s">
        <v>375</v>
      </c>
    </row>
    <row r="87" spans="1:41" ht="12" customHeight="1" x14ac:dyDescent="0.35">
      <c r="A87" s="29" t="s">
        <v>65</v>
      </c>
      <c r="B87" s="30" t="s">
        <v>327</v>
      </c>
      <c r="C87" s="29">
        <v>60</v>
      </c>
      <c r="D87" s="29" t="s">
        <v>66</v>
      </c>
      <c r="E87" s="31" t="s">
        <v>377</v>
      </c>
      <c r="F87" s="29">
        <v>33619</v>
      </c>
      <c r="G87" s="29"/>
      <c r="H87" s="32">
        <v>46102</v>
      </c>
      <c r="I87" s="33">
        <v>46102</v>
      </c>
      <c r="J87" s="34">
        <v>46102</v>
      </c>
      <c r="K87" s="35">
        <v>0.37164351851851851</v>
      </c>
      <c r="L87" s="35">
        <v>0.54547453703703708</v>
      </c>
      <c r="M87" s="36">
        <v>0.45497685185185183</v>
      </c>
      <c r="N87" s="35">
        <v>0.62880787037037034</v>
      </c>
      <c r="O87" s="37">
        <v>0.17383101851851851</v>
      </c>
      <c r="P87" s="29" t="s">
        <v>225</v>
      </c>
      <c r="Q87" s="29" t="s">
        <v>59</v>
      </c>
      <c r="R87" s="29" t="s">
        <v>225</v>
      </c>
      <c r="S87" s="38" t="s">
        <v>46</v>
      </c>
      <c r="T87" s="39" t="s">
        <v>73</v>
      </c>
      <c r="U87" s="39" t="s">
        <v>59</v>
      </c>
      <c r="V87" s="38" t="s">
        <v>104</v>
      </c>
      <c r="W87" s="40" t="s">
        <v>59</v>
      </c>
      <c r="X87" s="13" t="s">
        <v>59</v>
      </c>
      <c r="Y87" s="13" t="s">
        <v>59</v>
      </c>
      <c r="Z87" s="13" t="s">
        <v>59</v>
      </c>
      <c r="AA87" s="13"/>
      <c r="AB87" s="41"/>
      <c r="AC87" s="16">
        <v>30.171483067063146</v>
      </c>
      <c r="AD87" s="42"/>
      <c r="AE87" s="42"/>
      <c r="AF87" s="42"/>
      <c r="AG87" s="43"/>
      <c r="AH87" s="43"/>
      <c r="AI87" s="43"/>
      <c r="AJ87" s="17"/>
      <c r="AK87" s="17"/>
      <c r="AL87" s="17">
        <v>64.12213740458013</v>
      </c>
      <c r="AM87" s="17"/>
      <c r="AN87" s="17" t="s">
        <v>59</v>
      </c>
      <c r="AO87" s="44" t="s">
        <v>375</v>
      </c>
    </row>
    <row r="88" spans="1:41" ht="12" customHeight="1" x14ac:dyDescent="0.35">
      <c r="A88" s="29" t="s">
        <v>96</v>
      </c>
      <c r="B88" s="30" t="s">
        <v>317</v>
      </c>
      <c r="C88" s="29">
        <v>38</v>
      </c>
      <c r="D88" s="29" t="s">
        <v>318</v>
      </c>
      <c r="E88" s="31" t="s">
        <v>319</v>
      </c>
      <c r="F88" s="29">
        <v>5128</v>
      </c>
      <c r="G88" s="29" t="s">
        <v>59</v>
      </c>
      <c r="H88" s="32">
        <v>46101</v>
      </c>
      <c r="I88" s="33">
        <v>46101</v>
      </c>
      <c r="J88" s="34" t="s">
        <v>79</v>
      </c>
      <c r="K88" s="35">
        <v>0.71875</v>
      </c>
      <c r="L88" s="35">
        <v>0.85416666666666663</v>
      </c>
      <c r="M88" s="36">
        <v>0.80208333333333337</v>
      </c>
      <c r="N88" s="35">
        <v>0.9375</v>
      </c>
      <c r="O88" s="37">
        <f>IF(N88&gt;M88,N88-M88,(N88+1)-M88)</f>
        <v>0.13541666666666663</v>
      </c>
      <c r="P88" s="29" t="s">
        <v>320</v>
      </c>
      <c r="Q88" s="29" t="s">
        <v>321</v>
      </c>
      <c r="R88" s="29" t="s">
        <v>322</v>
      </c>
      <c r="S88" s="38" t="s">
        <v>46</v>
      </c>
      <c r="T88" s="39" t="s">
        <v>73</v>
      </c>
      <c r="U88" s="39" t="s">
        <v>59</v>
      </c>
      <c r="V88" s="38" t="s">
        <v>100</v>
      </c>
      <c r="W88" s="40" t="s">
        <v>59</v>
      </c>
      <c r="X88" s="13" t="s">
        <v>59</v>
      </c>
      <c r="Y88" s="13" t="s">
        <v>59</v>
      </c>
      <c r="Z88" s="13" t="s">
        <v>59</v>
      </c>
      <c r="AA88" s="13" t="s">
        <v>59</v>
      </c>
      <c r="AB88" s="41" t="s">
        <v>59</v>
      </c>
      <c r="AC88" s="16">
        <v>53.199999999999996</v>
      </c>
      <c r="AD88" s="42" t="s">
        <v>59</v>
      </c>
      <c r="AE88" s="42" t="s">
        <v>59</v>
      </c>
      <c r="AF88" s="42" t="s">
        <v>59</v>
      </c>
      <c r="AG88" s="43" t="s">
        <v>59</v>
      </c>
      <c r="AH88" s="43" t="s">
        <v>59</v>
      </c>
      <c r="AI88" s="43" t="s">
        <v>59</v>
      </c>
      <c r="AJ88" s="17" t="s">
        <v>59</v>
      </c>
      <c r="AK88" s="17" t="s">
        <v>59</v>
      </c>
      <c r="AL88" s="17">
        <v>0.94720000000000004</v>
      </c>
      <c r="AM88" s="17" t="s">
        <v>59</v>
      </c>
      <c r="AN88" s="17" t="s">
        <v>59</v>
      </c>
      <c r="AO88" s="44" t="s">
        <v>278</v>
      </c>
    </row>
    <row r="89" spans="1:41" ht="12" customHeight="1" x14ac:dyDescent="0.35">
      <c r="A89" s="29" t="s">
        <v>96</v>
      </c>
      <c r="B89" s="30" t="s">
        <v>317</v>
      </c>
      <c r="C89" s="29">
        <v>38</v>
      </c>
      <c r="D89" s="29" t="s">
        <v>318</v>
      </c>
      <c r="E89" s="31" t="s">
        <v>319</v>
      </c>
      <c r="F89" s="29">
        <v>5128</v>
      </c>
      <c r="G89" s="29" t="s">
        <v>59</v>
      </c>
      <c r="H89" s="32">
        <v>46103</v>
      </c>
      <c r="I89" s="33">
        <v>46103</v>
      </c>
      <c r="J89" s="34" t="s">
        <v>74</v>
      </c>
      <c r="K89" s="35">
        <v>0.6875</v>
      </c>
      <c r="L89" s="35">
        <v>0.83333333333333337</v>
      </c>
      <c r="M89" s="36">
        <v>0.77083333333333337</v>
      </c>
      <c r="N89" s="35">
        <v>0.91666666666666663</v>
      </c>
      <c r="O89" s="37">
        <f>IF(N89&gt;M89,N89-M89,(N89+1)-M89)</f>
        <v>0.14583333333333326</v>
      </c>
      <c r="P89" s="29" t="s">
        <v>320</v>
      </c>
      <c r="Q89" s="29" t="s">
        <v>325</v>
      </c>
      <c r="R89" s="29" t="s">
        <v>326</v>
      </c>
      <c r="S89" s="38" t="s">
        <v>46</v>
      </c>
      <c r="T89" s="39" t="s">
        <v>73</v>
      </c>
      <c r="U89" s="39" t="s">
        <v>59</v>
      </c>
      <c r="V89" s="38" t="s">
        <v>107</v>
      </c>
      <c r="W89" s="40" t="s">
        <v>59</v>
      </c>
      <c r="X89" s="13" t="s">
        <v>59</v>
      </c>
      <c r="Y89" s="13" t="s">
        <v>59</v>
      </c>
      <c r="Z89" s="13" t="s">
        <v>59</v>
      </c>
      <c r="AA89" s="13" t="s">
        <v>59</v>
      </c>
      <c r="AB89" s="41" t="s">
        <v>59</v>
      </c>
      <c r="AC89" s="16">
        <v>56</v>
      </c>
      <c r="AD89" s="42" t="s">
        <v>59</v>
      </c>
      <c r="AE89" s="42" t="s">
        <v>59</v>
      </c>
      <c r="AF89" s="42" t="s">
        <v>59</v>
      </c>
      <c r="AG89" s="43" t="s">
        <v>59</v>
      </c>
      <c r="AH89" s="43" t="s">
        <v>59</v>
      </c>
      <c r="AI89" s="43" t="s">
        <v>59</v>
      </c>
      <c r="AJ89" s="17" t="s">
        <v>59</v>
      </c>
      <c r="AK89" s="17" t="s">
        <v>59</v>
      </c>
      <c r="AL89" s="17">
        <v>0.56831999999999994</v>
      </c>
      <c r="AM89" s="17" t="s">
        <v>59</v>
      </c>
      <c r="AN89" s="17" t="s">
        <v>59</v>
      </c>
      <c r="AO89" s="44" t="s">
        <v>278</v>
      </c>
    </row>
    <row r="90" spans="1:41" ht="12" customHeight="1" x14ac:dyDescent="0.35">
      <c r="A90" s="29" t="s">
        <v>96</v>
      </c>
      <c r="B90" s="30" t="s">
        <v>317</v>
      </c>
      <c r="C90" s="29">
        <v>38</v>
      </c>
      <c r="D90" s="29" t="s">
        <v>318</v>
      </c>
      <c r="E90" s="31" t="s">
        <v>319</v>
      </c>
      <c r="F90" s="29">
        <v>5128</v>
      </c>
      <c r="G90" s="29" t="s">
        <v>59</v>
      </c>
      <c r="H90" s="32">
        <v>46102</v>
      </c>
      <c r="I90" s="33">
        <v>46102</v>
      </c>
      <c r="J90" s="34" t="s">
        <v>71</v>
      </c>
      <c r="K90" s="35">
        <v>0.72916666666666663</v>
      </c>
      <c r="L90" s="35">
        <v>0.85416666666666663</v>
      </c>
      <c r="M90" s="36">
        <v>0.8125</v>
      </c>
      <c r="N90" s="35">
        <v>0.9375</v>
      </c>
      <c r="O90" s="37">
        <f>IF(N90&gt;M90,N90-M90,(N90+1)-M90)</f>
        <v>0.125</v>
      </c>
      <c r="P90" s="29" t="s">
        <v>320</v>
      </c>
      <c r="Q90" s="29" t="s">
        <v>323</v>
      </c>
      <c r="R90" s="29" t="s">
        <v>324</v>
      </c>
      <c r="S90" s="38" t="s">
        <v>46</v>
      </c>
      <c r="T90" s="39" t="s">
        <v>73</v>
      </c>
      <c r="U90" s="39" t="s">
        <v>59</v>
      </c>
      <c r="V90" s="38" t="s">
        <v>104</v>
      </c>
      <c r="W90" s="40" t="s">
        <v>59</v>
      </c>
      <c r="X90" s="13" t="s">
        <v>59</v>
      </c>
      <c r="Y90" s="13" t="s">
        <v>59</v>
      </c>
      <c r="Z90" s="13" t="s">
        <v>59</v>
      </c>
      <c r="AA90" s="13" t="s">
        <v>59</v>
      </c>
      <c r="AB90" s="41" t="s">
        <v>59</v>
      </c>
      <c r="AC90" s="16">
        <v>56</v>
      </c>
      <c r="AD90" s="42" t="s">
        <v>59</v>
      </c>
      <c r="AE90" s="42" t="s">
        <v>59</v>
      </c>
      <c r="AF90" s="42" t="s">
        <v>59</v>
      </c>
      <c r="AG90" s="43" t="s">
        <v>59</v>
      </c>
      <c r="AH90" s="43" t="s">
        <v>59</v>
      </c>
      <c r="AI90" s="43" t="s">
        <v>59</v>
      </c>
      <c r="AJ90" s="17" t="s">
        <v>59</v>
      </c>
      <c r="AK90" s="17" t="s">
        <v>59</v>
      </c>
      <c r="AL90" s="17">
        <v>1.1366399999999999</v>
      </c>
      <c r="AM90" s="17" t="s">
        <v>59</v>
      </c>
      <c r="AN90" s="17" t="s">
        <v>59</v>
      </c>
      <c r="AO90" s="44" t="s">
        <v>278</v>
      </c>
    </row>
    <row r="91" spans="1:41" ht="12" customHeight="1" x14ac:dyDescent="0.35">
      <c r="A91" s="29" t="s">
        <v>76</v>
      </c>
      <c r="B91" s="30" t="s">
        <v>291</v>
      </c>
      <c r="C91" s="29">
        <v>50</v>
      </c>
      <c r="D91" s="29" t="s">
        <v>292</v>
      </c>
      <c r="E91" s="31" t="s">
        <v>293</v>
      </c>
      <c r="F91" s="29">
        <v>2334</v>
      </c>
      <c r="G91" s="29" t="s">
        <v>59</v>
      </c>
      <c r="H91" s="32">
        <v>46105</v>
      </c>
      <c r="I91" s="33">
        <v>46105</v>
      </c>
      <c r="J91" s="34" t="s">
        <v>99</v>
      </c>
      <c r="K91" s="35">
        <v>0.26944444444444443</v>
      </c>
      <c r="L91" s="35">
        <v>0.3125</v>
      </c>
      <c r="M91" s="36">
        <v>0.60277777777777775</v>
      </c>
      <c r="N91" s="35">
        <v>0.64583333333333337</v>
      </c>
      <c r="O91" s="37">
        <f>IF(N91&gt;M91,N91-M91,(N91+1)-M91)</f>
        <v>4.3055555555555625E-2</v>
      </c>
      <c r="P91" s="29" t="s">
        <v>294</v>
      </c>
      <c r="Q91" s="29" t="s">
        <v>295</v>
      </c>
      <c r="R91" s="29" t="s">
        <v>296</v>
      </c>
      <c r="S91" s="38" t="s">
        <v>48</v>
      </c>
      <c r="T91" s="39" t="s">
        <v>73</v>
      </c>
      <c r="U91" s="39" t="s">
        <v>59</v>
      </c>
      <c r="V91" s="38" t="s">
        <v>107</v>
      </c>
      <c r="W91" s="40" t="s">
        <v>59</v>
      </c>
      <c r="X91" s="13" t="s">
        <v>59</v>
      </c>
      <c r="Y91" s="13" t="s">
        <v>59</v>
      </c>
      <c r="Z91" s="13" t="s">
        <v>59</v>
      </c>
      <c r="AA91" s="13" t="s">
        <v>59</v>
      </c>
      <c r="AB91" s="41" t="s">
        <v>59</v>
      </c>
      <c r="AC91" s="16">
        <v>135.85</v>
      </c>
      <c r="AD91" s="42" t="s">
        <v>59</v>
      </c>
      <c r="AE91" s="42" t="s">
        <v>59</v>
      </c>
      <c r="AF91" s="42" t="s">
        <v>59</v>
      </c>
      <c r="AG91" s="43" t="s">
        <v>59</v>
      </c>
      <c r="AH91" s="43" t="s">
        <v>59</v>
      </c>
      <c r="AI91" s="43" t="s">
        <v>59</v>
      </c>
      <c r="AJ91" s="17" t="s">
        <v>59</v>
      </c>
      <c r="AK91" s="17" t="s">
        <v>59</v>
      </c>
      <c r="AL91" s="17">
        <v>155.05362595419848</v>
      </c>
      <c r="AM91" s="17" t="s">
        <v>59</v>
      </c>
      <c r="AN91" s="17" t="s">
        <v>59</v>
      </c>
      <c r="AO91" s="44" t="s">
        <v>278</v>
      </c>
    </row>
    <row r="92" spans="1:41" ht="12" customHeight="1" x14ac:dyDescent="0.35">
      <c r="A92" s="29" t="s">
        <v>96</v>
      </c>
      <c r="B92" s="30" t="s">
        <v>127</v>
      </c>
      <c r="C92" s="29">
        <v>5</v>
      </c>
      <c r="D92" s="29" t="s">
        <v>128</v>
      </c>
      <c r="E92" s="31" t="s">
        <v>129</v>
      </c>
      <c r="F92" s="29">
        <v>21831</v>
      </c>
      <c r="G92" s="29" t="s">
        <v>59</v>
      </c>
      <c r="H92" s="32">
        <v>46102</v>
      </c>
      <c r="I92" s="33">
        <v>46102</v>
      </c>
      <c r="J92" s="34" t="s">
        <v>71</v>
      </c>
      <c r="K92" s="35">
        <v>0</v>
      </c>
      <c r="L92" s="35">
        <v>0.11204861111111111</v>
      </c>
      <c r="M92" s="36">
        <v>8.3333333333333329E-2</v>
      </c>
      <c r="N92" s="35">
        <v>0.19538194444444446</v>
      </c>
      <c r="O92" s="37">
        <f>IF(N92&gt;M92,N92-M92,(N92+1)-M92)</f>
        <v>0.11204861111111113</v>
      </c>
      <c r="P92" s="29" t="s">
        <v>131</v>
      </c>
      <c r="Q92" s="29" t="s">
        <v>59</v>
      </c>
      <c r="R92" s="29" t="s">
        <v>131</v>
      </c>
      <c r="S92" s="38" t="s">
        <v>48</v>
      </c>
      <c r="T92" s="39" t="s">
        <v>73</v>
      </c>
      <c r="U92" s="39" t="s">
        <v>59</v>
      </c>
      <c r="V92" s="38" t="s">
        <v>100</v>
      </c>
      <c r="W92" s="40" t="s">
        <v>59</v>
      </c>
      <c r="X92" s="13" t="s">
        <v>59</v>
      </c>
      <c r="Y92" s="13" t="s">
        <v>59</v>
      </c>
      <c r="Z92" s="13" t="s">
        <v>59</v>
      </c>
      <c r="AA92" s="13" t="s">
        <v>59</v>
      </c>
      <c r="AB92" s="41" t="s">
        <v>59</v>
      </c>
      <c r="AC92" s="16" t="s">
        <v>59</v>
      </c>
      <c r="AD92" s="42" t="s">
        <v>59</v>
      </c>
      <c r="AE92" s="42">
        <v>0</v>
      </c>
      <c r="AF92" s="42">
        <v>0</v>
      </c>
      <c r="AG92" s="43" t="s">
        <v>59</v>
      </c>
      <c r="AH92" s="43" t="s">
        <v>59</v>
      </c>
      <c r="AI92" s="43" t="s">
        <v>59</v>
      </c>
      <c r="AJ92" s="17" t="s">
        <v>59</v>
      </c>
      <c r="AK92" s="17" t="s">
        <v>59</v>
      </c>
      <c r="AL92" s="17">
        <v>6.9999999999999993E-2</v>
      </c>
      <c r="AM92" s="17" t="s">
        <v>59</v>
      </c>
      <c r="AN92" s="17" t="s">
        <v>59</v>
      </c>
      <c r="AO92" s="44" t="s">
        <v>61</v>
      </c>
    </row>
    <row r="93" spans="1:41" ht="12" customHeight="1" x14ac:dyDescent="0.35">
      <c r="A93" s="29" t="s">
        <v>96</v>
      </c>
      <c r="B93" s="30" t="s">
        <v>138</v>
      </c>
      <c r="C93" s="29">
        <v>11</v>
      </c>
      <c r="D93" s="29" t="s">
        <v>139</v>
      </c>
      <c r="E93" s="31" t="s">
        <v>144</v>
      </c>
      <c r="F93" s="29">
        <v>1089</v>
      </c>
      <c r="G93" s="29" t="s">
        <v>59</v>
      </c>
      <c r="H93" s="32">
        <v>46101</v>
      </c>
      <c r="I93" s="33">
        <v>46101</v>
      </c>
      <c r="J93" s="34" t="s">
        <v>79</v>
      </c>
      <c r="K93" s="35">
        <v>0.4728472222222222</v>
      </c>
      <c r="L93" s="35">
        <v>0.4735300925925926</v>
      </c>
      <c r="M93" s="36">
        <v>0.55618055555555557</v>
      </c>
      <c r="N93" s="35">
        <v>0.55686342592592597</v>
      </c>
      <c r="O93" s="37">
        <f>IF(N93&gt;M93,N93-M93,(N93+1)-M93)</f>
        <v>6.828703703704031E-4</v>
      </c>
      <c r="P93" s="29" t="s">
        <v>141</v>
      </c>
      <c r="Q93" s="29" t="s">
        <v>142</v>
      </c>
      <c r="R93" s="29" t="s">
        <v>143</v>
      </c>
      <c r="S93" s="38" t="s">
        <v>46</v>
      </c>
      <c r="T93" s="39" t="s">
        <v>73</v>
      </c>
      <c r="U93" s="39" t="s">
        <v>59</v>
      </c>
      <c r="V93" s="38" t="s">
        <v>100</v>
      </c>
      <c r="W93" s="40" t="s">
        <v>59</v>
      </c>
      <c r="X93" s="13" t="s">
        <v>59</v>
      </c>
      <c r="Y93" s="13" t="s">
        <v>59</v>
      </c>
      <c r="Z93" s="13" t="s">
        <v>59</v>
      </c>
      <c r="AA93" s="13" t="s">
        <v>59</v>
      </c>
      <c r="AB93" s="41" t="s">
        <v>59</v>
      </c>
      <c r="AC93" s="16" t="s">
        <v>59</v>
      </c>
      <c r="AD93" s="42" t="s">
        <v>59</v>
      </c>
      <c r="AE93" s="42">
        <v>0</v>
      </c>
      <c r="AF93" s="42">
        <v>0</v>
      </c>
      <c r="AG93" s="43" t="s">
        <v>59</v>
      </c>
      <c r="AH93" s="43" t="s">
        <v>59</v>
      </c>
      <c r="AI93" s="43" t="s">
        <v>59</v>
      </c>
      <c r="AJ93" s="17" t="s">
        <v>59</v>
      </c>
      <c r="AK93" s="17" t="s">
        <v>59</v>
      </c>
      <c r="AL93" s="17">
        <v>8.0000000000000016E-2</v>
      </c>
      <c r="AM93" s="17" t="s">
        <v>59</v>
      </c>
      <c r="AN93" s="17" t="s">
        <v>59</v>
      </c>
      <c r="AO93" s="44" t="s">
        <v>61</v>
      </c>
    </row>
    <row r="94" spans="1:41" ht="12" customHeight="1" x14ac:dyDescent="0.35">
      <c r="A94" s="29" t="s">
        <v>96</v>
      </c>
      <c r="B94" s="30" t="s">
        <v>138</v>
      </c>
      <c r="C94" s="29">
        <v>11</v>
      </c>
      <c r="D94" s="29" t="s">
        <v>139</v>
      </c>
      <c r="E94" s="31" t="s">
        <v>144</v>
      </c>
      <c r="F94" s="29">
        <v>1089</v>
      </c>
      <c r="G94" s="29" t="s">
        <v>59</v>
      </c>
      <c r="H94" s="32">
        <v>46103</v>
      </c>
      <c r="I94" s="33">
        <v>46103</v>
      </c>
      <c r="J94" s="34" t="s">
        <v>74</v>
      </c>
      <c r="K94" s="35">
        <v>0.66953703703703704</v>
      </c>
      <c r="L94" s="35">
        <v>0.66987268518518517</v>
      </c>
      <c r="M94" s="36">
        <v>0.75287037037037041</v>
      </c>
      <c r="N94" s="35">
        <v>0.75320601851851854</v>
      </c>
      <c r="O94" s="37">
        <f>IF(N94&gt;M94,N94-M94,(N94+1)-M94)</f>
        <v>3.356481481481266E-4</v>
      </c>
      <c r="P94" s="29" t="s">
        <v>141</v>
      </c>
      <c r="Q94" s="29" t="s">
        <v>142</v>
      </c>
      <c r="R94" s="29" t="s">
        <v>143</v>
      </c>
      <c r="S94" s="38" t="s">
        <v>49</v>
      </c>
      <c r="T94" s="39" t="s">
        <v>73</v>
      </c>
      <c r="U94" s="39" t="s">
        <v>59</v>
      </c>
      <c r="V94" s="38" t="s">
        <v>107</v>
      </c>
      <c r="W94" s="40" t="s">
        <v>59</v>
      </c>
      <c r="X94" s="13" t="s">
        <v>59</v>
      </c>
      <c r="Y94" s="13" t="s">
        <v>59</v>
      </c>
      <c r="Z94" s="13" t="s">
        <v>59</v>
      </c>
      <c r="AA94" s="13" t="s">
        <v>59</v>
      </c>
      <c r="AB94" s="41" t="s">
        <v>59</v>
      </c>
      <c r="AC94" s="16" t="s">
        <v>59</v>
      </c>
      <c r="AD94" s="42" t="s">
        <v>59</v>
      </c>
      <c r="AE94" s="42">
        <v>0.8</v>
      </c>
      <c r="AF94" s="42">
        <v>0.34</v>
      </c>
      <c r="AG94" s="43" t="s">
        <v>59</v>
      </c>
      <c r="AH94" s="43" t="s">
        <v>59</v>
      </c>
      <c r="AI94" s="43" t="s">
        <v>59</v>
      </c>
      <c r="AJ94" s="17" t="s">
        <v>59</v>
      </c>
      <c r="AK94" s="17" t="s">
        <v>59</v>
      </c>
      <c r="AL94" s="17">
        <v>0.10666666666666667</v>
      </c>
      <c r="AM94" s="17" t="s">
        <v>59</v>
      </c>
      <c r="AN94" s="17" t="s">
        <v>59</v>
      </c>
      <c r="AO94" s="44" t="s">
        <v>61</v>
      </c>
    </row>
    <row r="95" spans="1:41" ht="12" customHeight="1" x14ac:dyDescent="0.35">
      <c r="A95" s="29" t="s">
        <v>96</v>
      </c>
      <c r="B95" s="30" t="s">
        <v>127</v>
      </c>
      <c r="C95" s="29">
        <v>5</v>
      </c>
      <c r="D95" s="29" t="s">
        <v>128</v>
      </c>
      <c r="E95" s="31" t="s">
        <v>129</v>
      </c>
      <c r="F95" s="29">
        <v>21831</v>
      </c>
      <c r="G95" s="29" t="s">
        <v>59</v>
      </c>
      <c r="H95" s="32">
        <v>46103</v>
      </c>
      <c r="I95" s="33">
        <v>46103</v>
      </c>
      <c r="J95" s="34" t="s">
        <v>74</v>
      </c>
      <c r="K95" s="35">
        <v>0.16302083333333334</v>
      </c>
      <c r="L95" s="35">
        <v>0.29280092592592594</v>
      </c>
      <c r="M95" s="36">
        <v>0.24635416666666668</v>
      </c>
      <c r="N95" s="35">
        <v>0.37613425925925925</v>
      </c>
      <c r="O95" s="37">
        <f>IF(N95&gt;M95,N95-M95,(N95+1)-M95)</f>
        <v>0.12978009259259257</v>
      </c>
      <c r="P95" s="29" t="s">
        <v>131</v>
      </c>
      <c r="Q95" s="29" t="s">
        <v>59</v>
      </c>
      <c r="R95" s="29" t="s">
        <v>131</v>
      </c>
      <c r="S95" s="38" t="s">
        <v>48</v>
      </c>
      <c r="T95" s="39" t="s">
        <v>73</v>
      </c>
      <c r="U95" s="39" t="s">
        <v>59</v>
      </c>
      <c r="V95" s="38" t="s">
        <v>104</v>
      </c>
      <c r="W95" s="40" t="s">
        <v>59</v>
      </c>
      <c r="X95" s="13" t="s">
        <v>59</v>
      </c>
      <c r="Y95" s="13" t="s">
        <v>59</v>
      </c>
      <c r="Z95" s="13" t="s">
        <v>59</v>
      </c>
      <c r="AA95" s="13" t="s">
        <v>59</v>
      </c>
      <c r="AB95" s="41" t="s">
        <v>59</v>
      </c>
      <c r="AC95" s="16" t="s">
        <v>59</v>
      </c>
      <c r="AD95" s="42" t="s">
        <v>59</v>
      </c>
      <c r="AE95" s="42">
        <v>0.9</v>
      </c>
      <c r="AF95" s="42">
        <v>0.1</v>
      </c>
      <c r="AG95" s="43" t="s">
        <v>59</v>
      </c>
      <c r="AH95" s="43" t="s">
        <v>59</v>
      </c>
      <c r="AI95" s="43" t="s">
        <v>59</v>
      </c>
      <c r="AJ95" s="17" t="s">
        <v>59</v>
      </c>
      <c r="AK95" s="17" t="s">
        <v>59</v>
      </c>
      <c r="AL95" s="17">
        <v>0.15</v>
      </c>
      <c r="AM95" s="17" t="s">
        <v>59</v>
      </c>
      <c r="AN95" s="17" t="s">
        <v>59</v>
      </c>
      <c r="AO95" s="44" t="s">
        <v>61</v>
      </c>
    </row>
    <row r="96" spans="1:41" ht="12" customHeight="1" x14ac:dyDescent="0.35">
      <c r="A96" s="29" t="s">
        <v>96</v>
      </c>
      <c r="B96" s="30" t="s">
        <v>260</v>
      </c>
      <c r="C96" s="29">
        <v>33</v>
      </c>
      <c r="D96" s="29" t="s">
        <v>261</v>
      </c>
      <c r="E96" s="31" t="s">
        <v>262</v>
      </c>
      <c r="F96" s="29">
        <v>31586</v>
      </c>
      <c r="G96" s="29" t="s">
        <v>59</v>
      </c>
      <c r="H96" s="32">
        <v>46105</v>
      </c>
      <c r="I96" s="33">
        <v>46105</v>
      </c>
      <c r="J96" s="34" t="s">
        <v>99</v>
      </c>
      <c r="K96" s="35">
        <v>2.2453703703703705E-2</v>
      </c>
      <c r="L96" s="35">
        <v>0.16501157407407407</v>
      </c>
      <c r="M96" s="36">
        <v>0.1474537037037037</v>
      </c>
      <c r="N96" s="35">
        <v>0.29001157407407407</v>
      </c>
      <c r="O96" s="37">
        <f>IF(N96&gt;M96,N96-M96,(N96+1)-M96)</f>
        <v>0.14255787037037038</v>
      </c>
      <c r="P96" s="29" t="s">
        <v>264</v>
      </c>
      <c r="Q96" s="29" t="s">
        <v>59</v>
      </c>
      <c r="R96" s="29" t="s">
        <v>264</v>
      </c>
      <c r="S96" s="38" t="s">
        <v>48</v>
      </c>
      <c r="T96" s="39" t="s">
        <v>73</v>
      </c>
      <c r="U96" s="39" t="s">
        <v>59</v>
      </c>
      <c r="V96" s="38" t="s">
        <v>107</v>
      </c>
      <c r="W96" s="40" t="s">
        <v>59</v>
      </c>
      <c r="X96" s="13" t="s">
        <v>59</v>
      </c>
      <c r="Y96" s="13" t="s">
        <v>59</v>
      </c>
      <c r="Z96" s="13" t="s">
        <v>59</v>
      </c>
      <c r="AA96" s="13" t="s">
        <v>59</v>
      </c>
      <c r="AB96" s="41" t="s">
        <v>59</v>
      </c>
      <c r="AC96" s="16" t="s">
        <v>59</v>
      </c>
      <c r="AD96" s="42" t="s">
        <v>59</v>
      </c>
      <c r="AE96" s="42">
        <v>1.4</v>
      </c>
      <c r="AF96" s="42">
        <v>0.1</v>
      </c>
      <c r="AG96" s="43" t="s">
        <v>59</v>
      </c>
      <c r="AH96" s="43" t="s">
        <v>59</v>
      </c>
      <c r="AI96" s="43" t="s">
        <v>59</v>
      </c>
      <c r="AJ96" s="17" t="s">
        <v>59</v>
      </c>
      <c r="AK96" s="17" t="s">
        <v>59</v>
      </c>
      <c r="AL96" s="17">
        <v>0.16666666666666669</v>
      </c>
      <c r="AM96" s="17" t="s">
        <v>59</v>
      </c>
      <c r="AN96" s="17" t="s">
        <v>59</v>
      </c>
      <c r="AO96" s="44" t="s">
        <v>61</v>
      </c>
    </row>
    <row r="97" spans="1:41" ht="12" customHeight="1" x14ac:dyDescent="0.35">
      <c r="A97" s="29" t="s">
        <v>96</v>
      </c>
      <c r="B97" s="30" t="s">
        <v>127</v>
      </c>
      <c r="C97" s="29">
        <v>5</v>
      </c>
      <c r="D97" s="29" t="s">
        <v>128</v>
      </c>
      <c r="E97" s="31" t="s">
        <v>129</v>
      </c>
      <c r="F97" s="29">
        <v>21831</v>
      </c>
      <c r="G97" s="29" t="s">
        <v>59</v>
      </c>
      <c r="H97" s="32">
        <v>46101</v>
      </c>
      <c r="I97" s="33">
        <v>46102</v>
      </c>
      <c r="J97" s="34" t="s">
        <v>79</v>
      </c>
      <c r="K97" s="35">
        <v>0.94487268518518519</v>
      </c>
      <c r="L97" s="35">
        <v>0</v>
      </c>
      <c r="M97" s="36">
        <v>2.8206018518518519E-2</v>
      </c>
      <c r="N97" s="35">
        <v>8.3333333333333329E-2</v>
      </c>
      <c r="O97" s="37">
        <f>IF(N97&gt;M97,N97-M97,(N97+1)-M97)</f>
        <v>5.512731481481481E-2</v>
      </c>
      <c r="P97" s="29" t="s">
        <v>131</v>
      </c>
      <c r="Q97" s="29" t="s">
        <v>59</v>
      </c>
      <c r="R97" s="29" t="s">
        <v>131</v>
      </c>
      <c r="S97" s="38" t="s">
        <v>48</v>
      </c>
      <c r="T97" s="39" t="s">
        <v>73</v>
      </c>
      <c r="U97" s="39" t="s">
        <v>59</v>
      </c>
      <c r="V97" s="38" t="s">
        <v>100</v>
      </c>
      <c r="W97" s="40" t="s">
        <v>59</v>
      </c>
      <c r="X97" s="13" t="s">
        <v>59</v>
      </c>
      <c r="Y97" s="13" t="s">
        <v>59</v>
      </c>
      <c r="Z97" s="13" t="s">
        <v>59</v>
      </c>
      <c r="AA97" s="13" t="s">
        <v>59</v>
      </c>
      <c r="AB97" s="41" t="s">
        <v>59</v>
      </c>
      <c r="AC97" s="16" t="s">
        <v>59</v>
      </c>
      <c r="AD97" s="42" t="s">
        <v>59</v>
      </c>
      <c r="AE97" s="42">
        <v>1.2</v>
      </c>
      <c r="AF97" s="42">
        <v>0.2</v>
      </c>
      <c r="AG97" s="43" t="s">
        <v>59</v>
      </c>
      <c r="AH97" s="43" t="s">
        <v>59</v>
      </c>
      <c r="AI97" s="43" t="s">
        <v>59</v>
      </c>
      <c r="AJ97" s="17" t="s">
        <v>59</v>
      </c>
      <c r="AK97" s="17" t="s">
        <v>59</v>
      </c>
      <c r="AL97" s="17">
        <v>0.2</v>
      </c>
      <c r="AM97" s="17" t="s">
        <v>59</v>
      </c>
      <c r="AN97" s="17" t="s">
        <v>59</v>
      </c>
      <c r="AO97" s="44" t="s">
        <v>61</v>
      </c>
    </row>
    <row r="98" spans="1:41" ht="12" customHeight="1" x14ac:dyDescent="0.35">
      <c r="A98" s="29" t="s">
        <v>96</v>
      </c>
      <c r="B98" s="30" t="s">
        <v>127</v>
      </c>
      <c r="C98" s="29">
        <v>5</v>
      </c>
      <c r="D98" s="29" t="s">
        <v>128</v>
      </c>
      <c r="E98" s="31" t="s">
        <v>129</v>
      </c>
      <c r="F98" s="29">
        <v>21831</v>
      </c>
      <c r="G98" s="29" t="s">
        <v>59</v>
      </c>
      <c r="H98" s="32">
        <v>46103</v>
      </c>
      <c r="I98" s="33">
        <v>46103</v>
      </c>
      <c r="J98" s="34" t="s">
        <v>74</v>
      </c>
      <c r="K98" s="35">
        <v>2.675925925925926E-2</v>
      </c>
      <c r="L98" s="35">
        <v>0.14061342592592593</v>
      </c>
      <c r="M98" s="36">
        <v>0.11009259259259259</v>
      </c>
      <c r="N98" s="35">
        <v>0.22394675925925925</v>
      </c>
      <c r="O98" s="37">
        <f>IF(N98&gt;M98,N98-M98,(N98+1)-M98)</f>
        <v>0.11385416666666666</v>
      </c>
      <c r="P98" s="29" t="s">
        <v>131</v>
      </c>
      <c r="Q98" s="29" t="s">
        <v>59</v>
      </c>
      <c r="R98" s="29" t="s">
        <v>131</v>
      </c>
      <c r="S98" s="38" t="s">
        <v>48</v>
      </c>
      <c r="T98" s="39" t="s">
        <v>73</v>
      </c>
      <c r="U98" s="39" t="s">
        <v>59</v>
      </c>
      <c r="V98" s="38" t="s">
        <v>104</v>
      </c>
      <c r="W98" s="40" t="s">
        <v>59</v>
      </c>
      <c r="X98" s="13" t="s">
        <v>59</v>
      </c>
      <c r="Y98" s="13" t="s">
        <v>59</v>
      </c>
      <c r="Z98" s="13" t="s">
        <v>59</v>
      </c>
      <c r="AA98" s="13" t="s">
        <v>59</v>
      </c>
      <c r="AB98" s="41" t="s">
        <v>59</v>
      </c>
      <c r="AC98" s="16" t="s">
        <v>59</v>
      </c>
      <c r="AD98" s="42" t="s">
        <v>59</v>
      </c>
      <c r="AE98" s="42">
        <v>1.2</v>
      </c>
      <c r="AF98" s="42">
        <v>0.6</v>
      </c>
      <c r="AG98" s="43" t="s">
        <v>59</v>
      </c>
      <c r="AH98" s="43" t="s">
        <v>59</v>
      </c>
      <c r="AI98" s="43" t="s">
        <v>59</v>
      </c>
      <c r="AJ98" s="17" t="s">
        <v>59</v>
      </c>
      <c r="AK98" s="17" t="s">
        <v>59</v>
      </c>
      <c r="AL98" s="17">
        <v>0.2</v>
      </c>
      <c r="AM98" s="17" t="s">
        <v>59</v>
      </c>
      <c r="AN98" s="17" t="s">
        <v>59</v>
      </c>
      <c r="AO98" s="44" t="s">
        <v>61</v>
      </c>
    </row>
    <row r="99" spans="1:41" ht="12" customHeight="1" x14ac:dyDescent="0.35">
      <c r="A99" s="29" t="s">
        <v>96</v>
      </c>
      <c r="B99" s="30" t="s">
        <v>138</v>
      </c>
      <c r="C99" s="29">
        <v>11</v>
      </c>
      <c r="D99" s="29" t="s">
        <v>139</v>
      </c>
      <c r="E99" s="31" t="s">
        <v>140</v>
      </c>
      <c r="F99" s="29">
        <v>1088</v>
      </c>
      <c r="G99" s="29" t="s">
        <v>59</v>
      </c>
      <c r="H99" s="32">
        <v>46102</v>
      </c>
      <c r="I99" s="33">
        <v>46102</v>
      </c>
      <c r="J99" s="34" t="s">
        <v>71</v>
      </c>
      <c r="K99" s="35">
        <v>3.3680555555555556E-3</v>
      </c>
      <c r="L99" s="35">
        <v>3.7037037037037038E-3</v>
      </c>
      <c r="M99" s="36">
        <v>8.6701388888888883E-2</v>
      </c>
      <c r="N99" s="35">
        <v>8.7037037037037038E-2</v>
      </c>
      <c r="O99" s="37">
        <f>IF(N99&gt;M99,N99-M99,(N99+1)-M99)</f>
        <v>3.3564814814815436E-4</v>
      </c>
      <c r="P99" s="29" t="s">
        <v>141</v>
      </c>
      <c r="Q99" s="29" t="s">
        <v>142</v>
      </c>
      <c r="R99" s="29" t="s">
        <v>143</v>
      </c>
      <c r="S99" s="38" t="s">
        <v>49</v>
      </c>
      <c r="T99" s="39" t="s">
        <v>73</v>
      </c>
      <c r="U99" s="39" t="s">
        <v>59</v>
      </c>
      <c r="V99" s="38" t="s">
        <v>100</v>
      </c>
      <c r="W99" s="40" t="s">
        <v>59</v>
      </c>
      <c r="X99" s="13" t="s">
        <v>59</v>
      </c>
      <c r="Y99" s="13" t="s">
        <v>59</v>
      </c>
      <c r="Z99" s="13" t="s">
        <v>59</v>
      </c>
      <c r="AA99" s="13" t="s">
        <v>59</v>
      </c>
      <c r="AB99" s="41" t="s">
        <v>59</v>
      </c>
      <c r="AC99" s="16" t="s">
        <v>59</v>
      </c>
      <c r="AD99" s="42" t="s">
        <v>59</v>
      </c>
      <c r="AE99" s="42">
        <v>0.6</v>
      </c>
      <c r="AF99" s="42">
        <v>1.02</v>
      </c>
      <c r="AG99" s="43" t="s">
        <v>59</v>
      </c>
      <c r="AH99" s="43" t="s">
        <v>59</v>
      </c>
      <c r="AI99" s="43" t="s">
        <v>59</v>
      </c>
      <c r="AJ99" s="17" t="s">
        <v>59</v>
      </c>
      <c r="AK99" s="17" t="s">
        <v>59</v>
      </c>
      <c r="AL99" s="17">
        <v>0.24</v>
      </c>
      <c r="AM99" s="17" t="s">
        <v>59</v>
      </c>
      <c r="AN99" s="17" t="s">
        <v>59</v>
      </c>
      <c r="AO99" s="44" t="s">
        <v>61</v>
      </c>
    </row>
    <row r="100" spans="1:41" ht="12" customHeight="1" x14ac:dyDescent="0.35">
      <c r="A100" s="29" t="s">
        <v>96</v>
      </c>
      <c r="B100" s="30" t="s">
        <v>138</v>
      </c>
      <c r="C100" s="29">
        <v>11</v>
      </c>
      <c r="D100" s="29" t="s">
        <v>139</v>
      </c>
      <c r="E100" s="31" t="s">
        <v>140</v>
      </c>
      <c r="F100" s="29">
        <v>1088</v>
      </c>
      <c r="G100" s="29" t="s">
        <v>59</v>
      </c>
      <c r="H100" s="32">
        <v>46102</v>
      </c>
      <c r="I100" s="33">
        <v>46102</v>
      </c>
      <c r="J100" s="34" t="s">
        <v>71</v>
      </c>
      <c r="K100" s="35">
        <v>3.6493055555555556E-2</v>
      </c>
      <c r="L100" s="35">
        <v>3.7175925925925925E-2</v>
      </c>
      <c r="M100" s="36">
        <v>0.11982638888888889</v>
      </c>
      <c r="N100" s="35">
        <v>0.12050925925925926</v>
      </c>
      <c r="O100" s="37">
        <f>IF(N100&gt;M100,N100-M100,(N100+1)-M100)</f>
        <v>6.8287037037037535E-4</v>
      </c>
      <c r="P100" s="29" t="s">
        <v>141</v>
      </c>
      <c r="Q100" s="29" t="s">
        <v>142</v>
      </c>
      <c r="R100" s="29" t="s">
        <v>143</v>
      </c>
      <c r="S100" s="38" t="s">
        <v>49</v>
      </c>
      <c r="T100" s="39" t="s">
        <v>73</v>
      </c>
      <c r="U100" s="39" t="s">
        <v>59</v>
      </c>
      <c r="V100" s="38" t="s">
        <v>100</v>
      </c>
      <c r="W100" s="40" t="s">
        <v>59</v>
      </c>
      <c r="X100" s="13" t="s">
        <v>59</v>
      </c>
      <c r="Y100" s="13" t="s">
        <v>59</v>
      </c>
      <c r="Z100" s="13" t="s">
        <v>59</v>
      </c>
      <c r="AA100" s="13" t="s">
        <v>59</v>
      </c>
      <c r="AB100" s="41" t="s">
        <v>59</v>
      </c>
      <c r="AC100" s="16" t="s">
        <v>59</v>
      </c>
      <c r="AD100" s="42" t="s">
        <v>59</v>
      </c>
      <c r="AE100" s="42">
        <v>0</v>
      </c>
      <c r="AF100" s="42">
        <v>0</v>
      </c>
      <c r="AG100" s="43" t="s">
        <v>59</v>
      </c>
      <c r="AH100" s="43" t="s">
        <v>59</v>
      </c>
      <c r="AI100" s="43" t="s">
        <v>59</v>
      </c>
      <c r="AJ100" s="17" t="s">
        <v>59</v>
      </c>
      <c r="AK100" s="17" t="s">
        <v>59</v>
      </c>
      <c r="AL100" s="17">
        <v>0.24</v>
      </c>
      <c r="AM100" s="17" t="s">
        <v>59</v>
      </c>
      <c r="AN100" s="17" t="s">
        <v>59</v>
      </c>
      <c r="AO100" s="44" t="s">
        <v>61</v>
      </c>
    </row>
    <row r="101" spans="1:41" ht="12" customHeight="1" x14ac:dyDescent="0.35">
      <c r="A101" s="29" t="s">
        <v>96</v>
      </c>
      <c r="B101" s="30" t="s">
        <v>138</v>
      </c>
      <c r="C101" s="29">
        <v>11</v>
      </c>
      <c r="D101" s="29" t="s">
        <v>139</v>
      </c>
      <c r="E101" s="31" t="s">
        <v>140</v>
      </c>
      <c r="F101" s="29">
        <v>1088</v>
      </c>
      <c r="G101" s="29" t="s">
        <v>59</v>
      </c>
      <c r="H101" s="32">
        <v>46103</v>
      </c>
      <c r="I101" s="33">
        <v>46103</v>
      </c>
      <c r="J101" s="34" t="s">
        <v>74</v>
      </c>
      <c r="K101" s="35">
        <v>2.886574074074074E-2</v>
      </c>
      <c r="L101" s="35">
        <v>2.9201388888888888E-2</v>
      </c>
      <c r="M101" s="36">
        <v>0.11219907407407408</v>
      </c>
      <c r="N101" s="35">
        <v>0.11253472222222222</v>
      </c>
      <c r="O101" s="37">
        <f>IF(N101&gt;M101,N101-M101,(N101+1)-M101)</f>
        <v>3.3564814814814048E-4</v>
      </c>
      <c r="P101" s="29" t="s">
        <v>141</v>
      </c>
      <c r="Q101" s="29" t="s">
        <v>142</v>
      </c>
      <c r="R101" s="29" t="s">
        <v>143</v>
      </c>
      <c r="S101" s="38" t="s">
        <v>49</v>
      </c>
      <c r="T101" s="39" t="s">
        <v>73</v>
      </c>
      <c r="U101" s="39" t="s">
        <v>59</v>
      </c>
      <c r="V101" s="38" t="s">
        <v>104</v>
      </c>
      <c r="W101" s="40" t="s">
        <v>59</v>
      </c>
      <c r="X101" s="13" t="s">
        <v>59</v>
      </c>
      <c r="Y101" s="13" t="s">
        <v>59</v>
      </c>
      <c r="Z101" s="13" t="s">
        <v>59</v>
      </c>
      <c r="AA101" s="13" t="s">
        <v>59</v>
      </c>
      <c r="AB101" s="41" t="s">
        <v>59</v>
      </c>
      <c r="AC101" s="16" t="s">
        <v>59</v>
      </c>
      <c r="AD101" s="42" t="s">
        <v>59</v>
      </c>
      <c r="AE101" s="42">
        <v>1</v>
      </c>
      <c r="AF101" s="42">
        <v>1.94</v>
      </c>
      <c r="AG101" s="43" t="s">
        <v>59</v>
      </c>
      <c r="AH101" s="43" t="s">
        <v>59</v>
      </c>
      <c r="AI101" s="43" t="s">
        <v>59</v>
      </c>
      <c r="AJ101" s="17" t="s">
        <v>59</v>
      </c>
      <c r="AK101" s="17" t="s">
        <v>59</v>
      </c>
      <c r="AL101" s="17">
        <v>0.24</v>
      </c>
      <c r="AM101" s="17" t="s">
        <v>59</v>
      </c>
      <c r="AN101" s="17" t="s">
        <v>59</v>
      </c>
      <c r="AO101" s="44" t="s">
        <v>61</v>
      </c>
    </row>
    <row r="102" spans="1:41" ht="12" customHeight="1" x14ac:dyDescent="0.35">
      <c r="A102" s="29" t="s">
        <v>96</v>
      </c>
      <c r="B102" s="30" t="s">
        <v>127</v>
      </c>
      <c r="C102" s="29">
        <v>5</v>
      </c>
      <c r="D102" s="29" t="s">
        <v>128</v>
      </c>
      <c r="E102" s="31" t="s">
        <v>129</v>
      </c>
      <c r="F102" s="29">
        <v>21831</v>
      </c>
      <c r="G102" s="29" t="s">
        <v>59</v>
      </c>
      <c r="H102" s="32">
        <v>46104</v>
      </c>
      <c r="I102" s="33">
        <v>46104</v>
      </c>
      <c r="J102" s="34" t="s">
        <v>67</v>
      </c>
      <c r="K102" s="35">
        <v>0.3273726851851852</v>
      </c>
      <c r="L102" s="35">
        <v>0.44516203703703705</v>
      </c>
      <c r="M102" s="36">
        <v>0.41070601851851851</v>
      </c>
      <c r="N102" s="35">
        <v>0.52849537037037042</v>
      </c>
      <c r="O102" s="37">
        <f>IF(N102&gt;M102,N102-M102,(N102+1)-M102)</f>
        <v>0.11778935185185191</v>
      </c>
      <c r="P102" s="29" t="s">
        <v>131</v>
      </c>
      <c r="Q102" s="29" t="s">
        <v>59</v>
      </c>
      <c r="R102" s="29" t="s">
        <v>131</v>
      </c>
      <c r="S102" s="38" t="s">
        <v>48</v>
      </c>
      <c r="T102" s="39" t="s">
        <v>73</v>
      </c>
      <c r="U102" s="39" t="s">
        <v>59</v>
      </c>
      <c r="V102" s="38" t="s">
        <v>107</v>
      </c>
      <c r="W102" s="40" t="s">
        <v>59</v>
      </c>
      <c r="X102" s="13" t="s">
        <v>59</v>
      </c>
      <c r="Y102" s="13" t="s">
        <v>59</v>
      </c>
      <c r="Z102" s="13" t="s">
        <v>59</v>
      </c>
      <c r="AA102" s="13" t="s">
        <v>59</v>
      </c>
      <c r="AB102" s="41" t="s">
        <v>59</v>
      </c>
      <c r="AC102" s="16" t="s">
        <v>59</v>
      </c>
      <c r="AD102" s="42" t="s">
        <v>59</v>
      </c>
      <c r="AE102" s="42">
        <v>1.5</v>
      </c>
      <c r="AF102" s="42">
        <v>0.2</v>
      </c>
      <c r="AG102" s="43" t="s">
        <v>59</v>
      </c>
      <c r="AH102" s="43" t="s">
        <v>59</v>
      </c>
      <c r="AI102" s="43" t="s">
        <v>59</v>
      </c>
      <c r="AJ102" s="17" t="s">
        <v>59</v>
      </c>
      <c r="AK102" s="17" t="s">
        <v>59</v>
      </c>
      <c r="AL102" s="17">
        <v>0.25</v>
      </c>
      <c r="AM102" s="17" t="s">
        <v>59</v>
      </c>
      <c r="AN102" s="17" t="s">
        <v>59</v>
      </c>
      <c r="AO102" s="44" t="s">
        <v>61</v>
      </c>
    </row>
    <row r="103" spans="1:41" ht="12" customHeight="1" x14ac:dyDescent="0.35">
      <c r="A103" s="29" t="s">
        <v>96</v>
      </c>
      <c r="B103" s="30" t="s">
        <v>138</v>
      </c>
      <c r="C103" s="29">
        <v>11</v>
      </c>
      <c r="D103" s="29" t="s">
        <v>139</v>
      </c>
      <c r="E103" s="31" t="s">
        <v>144</v>
      </c>
      <c r="F103" s="29">
        <v>1089</v>
      </c>
      <c r="G103" s="29" t="s">
        <v>59</v>
      </c>
      <c r="H103" s="32">
        <v>46103</v>
      </c>
      <c r="I103" s="33">
        <v>46103</v>
      </c>
      <c r="J103" s="34" t="s">
        <v>74</v>
      </c>
      <c r="K103" s="35">
        <v>0.58605324074074072</v>
      </c>
      <c r="L103" s="35">
        <v>0.58638888888888885</v>
      </c>
      <c r="M103" s="36">
        <v>0.66938657407407409</v>
      </c>
      <c r="N103" s="35">
        <v>0.66972222222222222</v>
      </c>
      <c r="O103" s="37">
        <f>IF(N103&gt;M103,N103-M103,(N103+1)-M103)</f>
        <v>3.356481481481266E-4</v>
      </c>
      <c r="P103" s="29" t="s">
        <v>141</v>
      </c>
      <c r="Q103" s="29" t="s">
        <v>142</v>
      </c>
      <c r="R103" s="29" t="s">
        <v>143</v>
      </c>
      <c r="S103" s="38" t="s">
        <v>49</v>
      </c>
      <c r="T103" s="39" t="s">
        <v>73</v>
      </c>
      <c r="U103" s="39" t="s">
        <v>59</v>
      </c>
      <c r="V103" s="38" t="s">
        <v>107</v>
      </c>
      <c r="W103" s="40" t="s">
        <v>59</v>
      </c>
      <c r="X103" s="13" t="s">
        <v>59</v>
      </c>
      <c r="Y103" s="13" t="s">
        <v>59</v>
      </c>
      <c r="Z103" s="13" t="s">
        <v>59</v>
      </c>
      <c r="AA103" s="13" t="s">
        <v>59</v>
      </c>
      <c r="AB103" s="41" t="s">
        <v>59</v>
      </c>
      <c r="AC103" s="16" t="s">
        <v>59</v>
      </c>
      <c r="AD103" s="42" t="s">
        <v>59</v>
      </c>
      <c r="AE103" s="42">
        <v>1.9</v>
      </c>
      <c r="AF103" s="42">
        <v>1.03</v>
      </c>
      <c r="AG103" s="43" t="s">
        <v>59</v>
      </c>
      <c r="AH103" s="43" t="s">
        <v>59</v>
      </c>
      <c r="AI103" s="43" t="s">
        <v>59</v>
      </c>
      <c r="AJ103" s="17" t="s">
        <v>59</v>
      </c>
      <c r="AK103" s="17" t="s">
        <v>59</v>
      </c>
      <c r="AL103" s="17">
        <v>0.2533333333333333</v>
      </c>
      <c r="AM103" s="17" t="s">
        <v>59</v>
      </c>
      <c r="AN103" s="17" t="s">
        <v>59</v>
      </c>
      <c r="AO103" s="44" t="s">
        <v>61</v>
      </c>
    </row>
    <row r="104" spans="1:41" ht="12" customHeight="1" x14ac:dyDescent="0.35">
      <c r="A104" s="29" t="s">
        <v>96</v>
      </c>
      <c r="B104" s="30" t="s">
        <v>138</v>
      </c>
      <c r="C104" s="29">
        <v>11</v>
      </c>
      <c r="D104" s="29" t="s">
        <v>139</v>
      </c>
      <c r="E104" s="31" t="s">
        <v>144</v>
      </c>
      <c r="F104" s="29">
        <v>1089</v>
      </c>
      <c r="G104" s="29" t="s">
        <v>59</v>
      </c>
      <c r="H104" s="32">
        <v>46103</v>
      </c>
      <c r="I104" s="33">
        <v>46103</v>
      </c>
      <c r="J104" s="34" t="s">
        <v>74</v>
      </c>
      <c r="K104" s="35">
        <v>0.68896990740740738</v>
      </c>
      <c r="L104" s="35">
        <v>0.6893055555555555</v>
      </c>
      <c r="M104" s="36">
        <v>0.77230324074074075</v>
      </c>
      <c r="N104" s="35">
        <v>0.77263888888888888</v>
      </c>
      <c r="O104" s="37">
        <f>IF(N104&gt;M104,N104-M104,(N104+1)-M104)</f>
        <v>3.356481481481266E-4</v>
      </c>
      <c r="P104" s="29" t="s">
        <v>141</v>
      </c>
      <c r="Q104" s="29" t="s">
        <v>142</v>
      </c>
      <c r="R104" s="29" t="s">
        <v>143</v>
      </c>
      <c r="S104" s="38" t="s">
        <v>46</v>
      </c>
      <c r="T104" s="39" t="s">
        <v>73</v>
      </c>
      <c r="U104" s="39" t="s">
        <v>59</v>
      </c>
      <c r="V104" s="38" t="s">
        <v>107</v>
      </c>
      <c r="W104" s="40" t="s">
        <v>59</v>
      </c>
      <c r="X104" s="13" t="s">
        <v>59</v>
      </c>
      <c r="Y104" s="13" t="s">
        <v>59</v>
      </c>
      <c r="Z104" s="13" t="s">
        <v>59</v>
      </c>
      <c r="AA104" s="13" t="s">
        <v>59</v>
      </c>
      <c r="AB104" s="41" t="s">
        <v>59</v>
      </c>
      <c r="AC104" s="16" t="s">
        <v>59</v>
      </c>
      <c r="AD104" s="42" t="s">
        <v>59</v>
      </c>
      <c r="AE104" s="42">
        <v>1.9</v>
      </c>
      <c r="AF104" s="42">
        <v>0.73</v>
      </c>
      <c r="AG104" s="43" t="s">
        <v>59</v>
      </c>
      <c r="AH104" s="43" t="s">
        <v>59</v>
      </c>
      <c r="AI104" s="43" t="s">
        <v>59</v>
      </c>
      <c r="AJ104" s="17" t="s">
        <v>59</v>
      </c>
      <c r="AK104" s="17" t="s">
        <v>59</v>
      </c>
      <c r="AL104" s="17">
        <v>0.2533333333333333</v>
      </c>
      <c r="AM104" s="17" t="s">
        <v>59</v>
      </c>
      <c r="AN104" s="17" t="s">
        <v>59</v>
      </c>
      <c r="AO104" s="44" t="s">
        <v>61</v>
      </c>
    </row>
    <row r="105" spans="1:41" ht="12" customHeight="1" x14ac:dyDescent="0.35">
      <c r="A105" s="29" t="s">
        <v>96</v>
      </c>
      <c r="B105" s="30" t="s">
        <v>200</v>
      </c>
      <c r="C105" s="29">
        <v>26</v>
      </c>
      <c r="D105" s="29" t="s">
        <v>201</v>
      </c>
      <c r="E105" s="31" t="s">
        <v>205</v>
      </c>
      <c r="F105" s="29">
        <v>2724</v>
      </c>
      <c r="G105" s="29" t="s">
        <v>59</v>
      </c>
      <c r="H105" s="32">
        <v>46106</v>
      </c>
      <c r="I105" s="33">
        <v>46106</v>
      </c>
      <c r="J105" s="34" t="s">
        <v>110</v>
      </c>
      <c r="K105" s="35">
        <v>0.21053240740740742</v>
      </c>
      <c r="L105" s="35">
        <v>0.31439814814814815</v>
      </c>
      <c r="M105" s="36">
        <v>0.25219907407407405</v>
      </c>
      <c r="N105" s="35">
        <v>0.35606481481481483</v>
      </c>
      <c r="O105" s="37">
        <f>IF(N105&gt;M105,N105-M105,(N105+1)-M105)</f>
        <v>0.10386574074074079</v>
      </c>
      <c r="P105" s="29" t="s">
        <v>203</v>
      </c>
      <c r="Q105" s="29" t="s">
        <v>136</v>
      </c>
      <c r="R105" s="29" t="s">
        <v>204</v>
      </c>
      <c r="S105" s="38" t="s">
        <v>48</v>
      </c>
      <c r="T105" s="39" t="s">
        <v>73</v>
      </c>
      <c r="U105" s="39" t="s">
        <v>59</v>
      </c>
      <c r="V105" s="38" t="s">
        <v>107</v>
      </c>
      <c r="W105" s="40" t="s">
        <v>59</v>
      </c>
      <c r="X105" s="13" t="s">
        <v>59</v>
      </c>
      <c r="Y105" s="13" t="s">
        <v>59</v>
      </c>
      <c r="Z105" s="13" t="s">
        <v>59</v>
      </c>
      <c r="AA105" s="13" t="s">
        <v>59</v>
      </c>
      <c r="AB105" s="41" t="s">
        <v>59</v>
      </c>
      <c r="AC105" s="16" t="s">
        <v>59</v>
      </c>
      <c r="AD105" s="42" t="s">
        <v>59</v>
      </c>
      <c r="AE105" s="42">
        <v>7.1</v>
      </c>
      <c r="AF105" s="42">
        <v>0.26</v>
      </c>
      <c r="AG105" s="43" t="s">
        <v>59</v>
      </c>
      <c r="AH105" s="43" t="s">
        <v>59</v>
      </c>
      <c r="AI105" s="43" t="s">
        <v>59</v>
      </c>
      <c r="AJ105" s="17" t="s">
        <v>59</v>
      </c>
      <c r="AK105" s="17" t="s">
        <v>59</v>
      </c>
      <c r="AL105" s="17">
        <v>0.26542981930621312</v>
      </c>
      <c r="AM105" s="17" t="s">
        <v>59</v>
      </c>
      <c r="AN105" s="17" t="s">
        <v>59</v>
      </c>
      <c r="AO105" s="44" t="s">
        <v>61</v>
      </c>
    </row>
    <row r="106" spans="1:41" ht="12" customHeight="1" x14ac:dyDescent="0.35">
      <c r="A106" s="29" t="s">
        <v>96</v>
      </c>
      <c r="B106" s="30" t="s">
        <v>200</v>
      </c>
      <c r="C106" s="29">
        <v>26</v>
      </c>
      <c r="D106" s="29" t="s">
        <v>201</v>
      </c>
      <c r="E106" s="31" t="s">
        <v>205</v>
      </c>
      <c r="F106" s="29">
        <v>2724</v>
      </c>
      <c r="G106" s="29" t="s">
        <v>59</v>
      </c>
      <c r="H106" s="32">
        <v>46105</v>
      </c>
      <c r="I106" s="33">
        <v>46105</v>
      </c>
      <c r="J106" s="34" t="s">
        <v>99</v>
      </c>
      <c r="K106" s="35">
        <v>0.20359953703703704</v>
      </c>
      <c r="L106" s="35">
        <v>0.25214120370370369</v>
      </c>
      <c r="M106" s="36">
        <v>0.24526620370370369</v>
      </c>
      <c r="N106" s="35">
        <v>0.29380787037037037</v>
      </c>
      <c r="O106" s="37">
        <f>IF(N106&gt;M106,N106-M106,(N106+1)-M106)</f>
        <v>4.8541666666666677E-2</v>
      </c>
      <c r="P106" s="29" t="s">
        <v>203</v>
      </c>
      <c r="Q106" s="29" t="s">
        <v>136</v>
      </c>
      <c r="R106" s="29" t="s">
        <v>204</v>
      </c>
      <c r="S106" s="38" t="s">
        <v>48</v>
      </c>
      <c r="T106" s="39" t="s">
        <v>73</v>
      </c>
      <c r="U106" s="39" t="s">
        <v>59</v>
      </c>
      <c r="V106" s="38" t="s">
        <v>107</v>
      </c>
      <c r="W106" s="40" t="s">
        <v>59</v>
      </c>
      <c r="X106" s="13" t="s">
        <v>59</v>
      </c>
      <c r="Y106" s="13" t="s">
        <v>59</v>
      </c>
      <c r="Z106" s="13" t="s">
        <v>59</v>
      </c>
      <c r="AA106" s="13" t="s">
        <v>59</v>
      </c>
      <c r="AB106" s="41" t="s">
        <v>59</v>
      </c>
      <c r="AC106" s="16" t="s">
        <v>59</v>
      </c>
      <c r="AD106" s="42" t="s">
        <v>59</v>
      </c>
      <c r="AE106" s="42">
        <v>7.6</v>
      </c>
      <c r="AF106" s="42">
        <v>0.45</v>
      </c>
      <c r="AG106" s="43" t="s">
        <v>59</v>
      </c>
      <c r="AH106" s="43" t="s">
        <v>59</v>
      </c>
      <c r="AI106" s="43" t="s">
        <v>59</v>
      </c>
      <c r="AJ106" s="17" t="s">
        <v>59</v>
      </c>
      <c r="AK106" s="17" t="s">
        <v>59</v>
      </c>
      <c r="AL106" s="17">
        <v>0.2841220601024253</v>
      </c>
      <c r="AM106" s="17" t="s">
        <v>59</v>
      </c>
      <c r="AN106" s="17" t="s">
        <v>59</v>
      </c>
      <c r="AO106" s="44" t="s">
        <v>61</v>
      </c>
    </row>
    <row r="107" spans="1:41" ht="12" customHeight="1" x14ac:dyDescent="0.35">
      <c r="A107" s="29" t="s">
        <v>96</v>
      </c>
      <c r="B107" s="30" t="s">
        <v>127</v>
      </c>
      <c r="C107" s="29">
        <v>5</v>
      </c>
      <c r="D107" s="29" t="s">
        <v>128</v>
      </c>
      <c r="E107" s="31" t="s">
        <v>129</v>
      </c>
      <c r="F107" s="29">
        <v>21831</v>
      </c>
      <c r="G107" s="29" t="s">
        <v>59</v>
      </c>
      <c r="H107" s="32">
        <v>46102</v>
      </c>
      <c r="I107" s="33">
        <v>46102</v>
      </c>
      <c r="J107" s="34" t="s">
        <v>71</v>
      </c>
      <c r="K107" s="35">
        <v>0.13899305555555555</v>
      </c>
      <c r="L107" s="35">
        <v>0.28209490740740739</v>
      </c>
      <c r="M107" s="36">
        <v>0.22232638888888889</v>
      </c>
      <c r="N107" s="35">
        <v>0.36542824074074076</v>
      </c>
      <c r="O107" s="37">
        <f>IF(N107&gt;M107,N107-M107,(N107+1)-M107)</f>
        <v>0.14310185185185187</v>
      </c>
      <c r="P107" s="29" t="s">
        <v>131</v>
      </c>
      <c r="Q107" s="29" t="s">
        <v>59</v>
      </c>
      <c r="R107" s="29" t="s">
        <v>131</v>
      </c>
      <c r="S107" s="38" t="s">
        <v>48</v>
      </c>
      <c r="T107" s="39" t="s">
        <v>73</v>
      </c>
      <c r="U107" s="39" t="s">
        <v>59</v>
      </c>
      <c r="V107" s="38" t="s">
        <v>100</v>
      </c>
      <c r="W107" s="40" t="s">
        <v>59</v>
      </c>
      <c r="X107" s="13" t="s">
        <v>59</v>
      </c>
      <c r="Y107" s="13" t="s">
        <v>59</v>
      </c>
      <c r="Z107" s="13" t="s">
        <v>59</v>
      </c>
      <c r="AA107" s="13" t="s">
        <v>59</v>
      </c>
      <c r="AB107" s="41" t="s">
        <v>59</v>
      </c>
      <c r="AC107" s="16" t="s">
        <v>59</v>
      </c>
      <c r="AD107" s="42" t="s">
        <v>59</v>
      </c>
      <c r="AE107" s="42">
        <v>1.8</v>
      </c>
      <c r="AF107" s="42">
        <v>0.3</v>
      </c>
      <c r="AG107" s="43" t="s">
        <v>59</v>
      </c>
      <c r="AH107" s="43" t="s">
        <v>59</v>
      </c>
      <c r="AI107" s="43" t="s">
        <v>59</v>
      </c>
      <c r="AJ107" s="17" t="s">
        <v>59</v>
      </c>
      <c r="AK107" s="17" t="s">
        <v>59</v>
      </c>
      <c r="AL107" s="17">
        <v>0.3</v>
      </c>
      <c r="AM107" s="17" t="s">
        <v>59</v>
      </c>
      <c r="AN107" s="17" t="s">
        <v>59</v>
      </c>
      <c r="AO107" s="44" t="s">
        <v>61</v>
      </c>
    </row>
    <row r="108" spans="1:41" ht="12" customHeight="1" x14ac:dyDescent="0.35">
      <c r="A108" s="29" t="s">
        <v>96</v>
      </c>
      <c r="B108" s="30" t="s">
        <v>260</v>
      </c>
      <c r="C108" s="29">
        <v>33</v>
      </c>
      <c r="D108" s="29" t="s">
        <v>261</v>
      </c>
      <c r="E108" s="31" t="s">
        <v>262</v>
      </c>
      <c r="F108" s="29">
        <v>31586</v>
      </c>
      <c r="G108" s="29" t="s">
        <v>59</v>
      </c>
      <c r="H108" s="32">
        <v>46105</v>
      </c>
      <c r="I108" s="33">
        <v>46105</v>
      </c>
      <c r="J108" s="34" t="s">
        <v>99</v>
      </c>
      <c r="K108" s="35">
        <v>0.17672453703703703</v>
      </c>
      <c r="L108" s="35">
        <v>0.263125</v>
      </c>
      <c r="M108" s="36">
        <v>0.30172453703703705</v>
      </c>
      <c r="N108" s="35">
        <v>0.388125</v>
      </c>
      <c r="O108" s="37">
        <f>IF(N108&gt;M108,N108-M108,(N108+1)-M108)</f>
        <v>8.6400462962962943E-2</v>
      </c>
      <c r="P108" s="29" t="s">
        <v>264</v>
      </c>
      <c r="Q108" s="29" t="s">
        <v>59</v>
      </c>
      <c r="R108" s="29" t="s">
        <v>264</v>
      </c>
      <c r="S108" s="38" t="s">
        <v>48</v>
      </c>
      <c r="T108" s="39" t="s">
        <v>73</v>
      </c>
      <c r="U108" s="39" t="s">
        <v>59</v>
      </c>
      <c r="V108" s="38" t="s">
        <v>107</v>
      </c>
      <c r="W108" s="40" t="s">
        <v>59</v>
      </c>
      <c r="X108" s="13" t="s">
        <v>59</v>
      </c>
      <c r="Y108" s="13" t="s">
        <v>59</v>
      </c>
      <c r="Z108" s="13" t="s">
        <v>59</v>
      </c>
      <c r="AA108" s="13" t="s">
        <v>59</v>
      </c>
      <c r="AB108" s="41" t="s">
        <v>59</v>
      </c>
      <c r="AC108" s="16" t="s">
        <v>59</v>
      </c>
      <c r="AD108" s="42" t="s">
        <v>59</v>
      </c>
      <c r="AE108" s="42">
        <v>2.9</v>
      </c>
      <c r="AF108" s="42">
        <v>0.1</v>
      </c>
      <c r="AG108" s="43" t="s">
        <v>59</v>
      </c>
      <c r="AH108" s="43" t="s">
        <v>59</v>
      </c>
      <c r="AI108" s="43" t="s">
        <v>59</v>
      </c>
      <c r="AJ108" s="17" t="s">
        <v>59</v>
      </c>
      <c r="AK108" s="17" t="s">
        <v>59</v>
      </c>
      <c r="AL108" s="17">
        <v>0.32222222222222219</v>
      </c>
      <c r="AM108" s="17" t="s">
        <v>59</v>
      </c>
      <c r="AN108" s="17" t="s">
        <v>59</v>
      </c>
      <c r="AO108" s="44" t="s">
        <v>61</v>
      </c>
    </row>
    <row r="109" spans="1:41" ht="12" customHeight="1" x14ac:dyDescent="0.35">
      <c r="A109" s="29" t="s">
        <v>65</v>
      </c>
      <c r="B109" s="30" t="s">
        <v>60</v>
      </c>
      <c r="C109" s="29">
        <v>39</v>
      </c>
      <c r="D109" s="29" t="s">
        <v>66</v>
      </c>
      <c r="E109" s="31" t="s">
        <v>368</v>
      </c>
      <c r="F109" s="29">
        <v>33329</v>
      </c>
      <c r="G109" s="29" t="s">
        <v>59</v>
      </c>
      <c r="H109" s="32">
        <v>46104</v>
      </c>
      <c r="I109" s="33">
        <v>46104</v>
      </c>
      <c r="J109" s="34" t="s">
        <v>67</v>
      </c>
      <c r="K109" s="35">
        <v>0.41658564814814814</v>
      </c>
      <c r="L109" s="35">
        <v>0.4569212962962963</v>
      </c>
      <c r="M109" s="36">
        <v>0.49991898148148151</v>
      </c>
      <c r="N109" s="35">
        <v>0.54025462962962967</v>
      </c>
      <c r="O109" s="37">
        <f>IF(N109&gt;M109,N109-M109,(N109+1)-M109)</f>
        <v>4.0335648148148162E-2</v>
      </c>
      <c r="P109" s="29" t="s">
        <v>223</v>
      </c>
      <c r="Q109" s="29" t="s">
        <v>59</v>
      </c>
      <c r="R109" s="29" t="s">
        <v>223</v>
      </c>
      <c r="S109" s="38" t="s">
        <v>49</v>
      </c>
      <c r="T109" s="39" t="s">
        <v>73</v>
      </c>
      <c r="U109" s="39" t="s">
        <v>59</v>
      </c>
      <c r="V109" s="38" t="s">
        <v>107</v>
      </c>
      <c r="W109" s="40" t="s">
        <v>59</v>
      </c>
      <c r="X109" s="13" t="s">
        <v>59</v>
      </c>
      <c r="Y109" s="13" t="s">
        <v>59</v>
      </c>
      <c r="Z109" s="13" t="s">
        <v>59</v>
      </c>
      <c r="AA109" s="13" t="s">
        <v>59</v>
      </c>
      <c r="AB109" s="41" t="s">
        <v>59</v>
      </c>
      <c r="AC109" s="16" t="s">
        <v>59</v>
      </c>
      <c r="AD109" s="42" t="s">
        <v>59</v>
      </c>
      <c r="AE109" s="42">
        <v>0</v>
      </c>
      <c r="AF109" s="42">
        <v>0</v>
      </c>
      <c r="AG109" s="43" t="s">
        <v>59</v>
      </c>
      <c r="AH109" s="43" t="s">
        <v>59</v>
      </c>
      <c r="AI109" s="43" t="s">
        <v>59</v>
      </c>
      <c r="AJ109" s="17" t="s">
        <v>59</v>
      </c>
      <c r="AK109" s="17" t="s">
        <v>59</v>
      </c>
      <c r="AL109" s="17">
        <v>0.33333333333333337</v>
      </c>
      <c r="AM109" s="17" t="s">
        <v>59</v>
      </c>
      <c r="AN109" s="17" t="s">
        <v>59</v>
      </c>
      <c r="AO109" s="44" t="s">
        <v>61</v>
      </c>
    </row>
    <row r="110" spans="1:41" ht="12" customHeight="1" x14ac:dyDescent="0.35">
      <c r="A110" s="29" t="s">
        <v>65</v>
      </c>
      <c r="B110" s="30" t="s">
        <v>60</v>
      </c>
      <c r="C110" s="29">
        <v>39</v>
      </c>
      <c r="D110" s="29" t="s">
        <v>66</v>
      </c>
      <c r="E110" s="31" t="s">
        <v>368</v>
      </c>
      <c r="F110" s="29">
        <v>33329</v>
      </c>
      <c r="G110" s="29" t="s">
        <v>59</v>
      </c>
      <c r="H110" s="32">
        <v>46105</v>
      </c>
      <c r="I110" s="33">
        <v>46105</v>
      </c>
      <c r="J110" s="34" t="s">
        <v>99</v>
      </c>
      <c r="K110" s="35">
        <v>0.41659722222222223</v>
      </c>
      <c r="L110" s="35">
        <v>0.45424768518518521</v>
      </c>
      <c r="M110" s="36">
        <v>0.49993055555555554</v>
      </c>
      <c r="N110" s="35">
        <v>0.53758101851851847</v>
      </c>
      <c r="O110" s="37">
        <f>IF(N110&gt;M110,N110-M110,(N110+1)-M110)</f>
        <v>3.7650462962962927E-2</v>
      </c>
      <c r="P110" s="29" t="s">
        <v>223</v>
      </c>
      <c r="Q110" s="29" t="s">
        <v>59</v>
      </c>
      <c r="R110" s="29" t="s">
        <v>223</v>
      </c>
      <c r="S110" s="38" t="s">
        <v>49</v>
      </c>
      <c r="T110" s="39" t="s">
        <v>73</v>
      </c>
      <c r="U110" s="39" t="s">
        <v>59</v>
      </c>
      <c r="V110" s="38" t="s">
        <v>107</v>
      </c>
      <c r="W110" s="40" t="s">
        <v>59</v>
      </c>
      <c r="X110" s="13" t="s">
        <v>59</v>
      </c>
      <c r="Y110" s="13" t="s">
        <v>59</v>
      </c>
      <c r="Z110" s="13" t="s">
        <v>59</v>
      </c>
      <c r="AA110" s="13" t="s">
        <v>59</v>
      </c>
      <c r="AB110" s="41" t="s">
        <v>59</v>
      </c>
      <c r="AC110" s="16" t="s">
        <v>59</v>
      </c>
      <c r="AD110" s="42" t="s">
        <v>59</v>
      </c>
      <c r="AE110" s="42">
        <v>0</v>
      </c>
      <c r="AF110" s="42">
        <v>0</v>
      </c>
      <c r="AG110" s="43" t="s">
        <v>59</v>
      </c>
      <c r="AH110" s="43" t="s">
        <v>59</v>
      </c>
      <c r="AI110" s="43" t="s">
        <v>59</v>
      </c>
      <c r="AJ110" s="17" t="s">
        <v>59</v>
      </c>
      <c r="AK110" s="17" t="s">
        <v>59</v>
      </c>
      <c r="AL110" s="17">
        <v>0.33333333333333337</v>
      </c>
      <c r="AM110" s="17" t="s">
        <v>59</v>
      </c>
      <c r="AN110" s="17" t="s">
        <v>59</v>
      </c>
      <c r="AO110" s="44" t="s">
        <v>61</v>
      </c>
    </row>
    <row r="111" spans="1:41" ht="12" customHeight="1" x14ac:dyDescent="0.35">
      <c r="A111" s="29" t="s">
        <v>65</v>
      </c>
      <c r="B111" s="30" t="s">
        <v>60</v>
      </c>
      <c r="C111" s="29">
        <v>39</v>
      </c>
      <c r="D111" s="29" t="s">
        <v>66</v>
      </c>
      <c r="E111" s="31" t="s">
        <v>369</v>
      </c>
      <c r="F111" s="29">
        <v>33339</v>
      </c>
      <c r="G111" s="29" t="s">
        <v>59</v>
      </c>
      <c r="H111" s="32">
        <v>46106</v>
      </c>
      <c r="I111" s="33">
        <v>46106</v>
      </c>
      <c r="J111" s="34" t="s">
        <v>110</v>
      </c>
      <c r="K111" s="35">
        <v>0</v>
      </c>
      <c r="L111" s="35">
        <v>8.3946759259259263E-2</v>
      </c>
      <c r="M111" s="36">
        <v>8.3333333333333329E-2</v>
      </c>
      <c r="N111" s="35">
        <v>0.16728009259259261</v>
      </c>
      <c r="O111" s="37">
        <f>IF(N111&gt;M111,N111-M111,(N111+1)-M111)</f>
        <v>8.3946759259259277E-2</v>
      </c>
      <c r="P111" s="29" t="s">
        <v>225</v>
      </c>
      <c r="Q111" s="29" t="s">
        <v>59</v>
      </c>
      <c r="R111" s="29" t="s">
        <v>225</v>
      </c>
      <c r="S111" s="38" t="s">
        <v>48</v>
      </c>
      <c r="T111" s="39" t="s">
        <v>73</v>
      </c>
      <c r="U111" s="39" t="s">
        <v>59</v>
      </c>
      <c r="V111" s="38" t="s">
        <v>107</v>
      </c>
      <c r="W111" s="40" t="s">
        <v>59</v>
      </c>
      <c r="X111" s="13" t="s">
        <v>59</v>
      </c>
      <c r="Y111" s="13" t="s">
        <v>59</v>
      </c>
      <c r="Z111" s="13" t="s">
        <v>59</v>
      </c>
      <c r="AA111" s="13" t="s">
        <v>59</v>
      </c>
      <c r="AB111" s="41" t="s">
        <v>59</v>
      </c>
      <c r="AC111" s="16" t="s">
        <v>59</v>
      </c>
      <c r="AD111" s="42" t="s">
        <v>59</v>
      </c>
      <c r="AE111" s="42">
        <v>0</v>
      </c>
      <c r="AF111" s="42">
        <v>0</v>
      </c>
      <c r="AG111" s="43" t="s">
        <v>59</v>
      </c>
      <c r="AH111" s="43" t="s">
        <v>59</v>
      </c>
      <c r="AI111" s="43" t="s">
        <v>59</v>
      </c>
      <c r="AJ111" s="17" t="s">
        <v>59</v>
      </c>
      <c r="AK111" s="17" t="s">
        <v>59</v>
      </c>
      <c r="AL111" s="17">
        <v>0.33333333333333337</v>
      </c>
      <c r="AM111" s="17" t="s">
        <v>59</v>
      </c>
      <c r="AN111" s="17" t="s">
        <v>59</v>
      </c>
      <c r="AO111" s="44" t="s">
        <v>61</v>
      </c>
    </row>
    <row r="112" spans="1:41" ht="12" customHeight="1" x14ac:dyDescent="0.35">
      <c r="A112" s="29" t="s">
        <v>65</v>
      </c>
      <c r="B112" s="30" t="s">
        <v>60</v>
      </c>
      <c r="C112" s="29">
        <v>39</v>
      </c>
      <c r="D112" s="29" t="s">
        <v>66</v>
      </c>
      <c r="E112" s="31" t="s">
        <v>370</v>
      </c>
      <c r="F112" s="29">
        <v>33341</v>
      </c>
      <c r="G112" s="29" t="s">
        <v>59</v>
      </c>
      <c r="H112" s="32">
        <v>46103</v>
      </c>
      <c r="I112" s="33">
        <v>46104</v>
      </c>
      <c r="J112" s="34" t="s">
        <v>74</v>
      </c>
      <c r="K112" s="35">
        <v>0.95465277777777779</v>
      </c>
      <c r="L112" s="35">
        <v>0.99998842592592596</v>
      </c>
      <c r="M112" s="36">
        <v>3.7986111111111109E-2</v>
      </c>
      <c r="N112" s="35">
        <v>8.3321759259259262E-2</v>
      </c>
      <c r="O112" s="37">
        <f>IF(N112&gt;M112,N112-M112,(N112+1)-M112)</f>
        <v>4.5335648148148153E-2</v>
      </c>
      <c r="P112" s="29" t="s">
        <v>225</v>
      </c>
      <c r="Q112" s="29" t="s">
        <v>59</v>
      </c>
      <c r="R112" s="29" t="s">
        <v>225</v>
      </c>
      <c r="S112" s="38" t="s">
        <v>48</v>
      </c>
      <c r="T112" s="39" t="s">
        <v>73</v>
      </c>
      <c r="U112" s="39" t="s">
        <v>59</v>
      </c>
      <c r="V112" s="38" t="s">
        <v>107</v>
      </c>
      <c r="W112" s="40" t="s">
        <v>59</v>
      </c>
      <c r="X112" s="13" t="s">
        <v>59</v>
      </c>
      <c r="Y112" s="13" t="s">
        <v>59</v>
      </c>
      <c r="Z112" s="13" t="s">
        <v>59</v>
      </c>
      <c r="AA112" s="13" t="s">
        <v>59</v>
      </c>
      <c r="AB112" s="41" t="s">
        <v>59</v>
      </c>
      <c r="AC112" s="16" t="s">
        <v>59</v>
      </c>
      <c r="AD112" s="42" t="s">
        <v>59</v>
      </c>
      <c r="AE112" s="42">
        <v>0.1</v>
      </c>
      <c r="AF112" s="42">
        <v>0.01</v>
      </c>
      <c r="AG112" s="43" t="s">
        <v>59</v>
      </c>
      <c r="AH112" s="43" t="s">
        <v>59</v>
      </c>
      <c r="AI112" s="43" t="s">
        <v>59</v>
      </c>
      <c r="AJ112" s="17" t="s">
        <v>59</v>
      </c>
      <c r="AK112" s="17" t="s">
        <v>59</v>
      </c>
      <c r="AL112" s="17">
        <v>0.33333333333333337</v>
      </c>
      <c r="AM112" s="17" t="s">
        <v>59</v>
      </c>
      <c r="AN112" s="17" t="s">
        <v>59</v>
      </c>
      <c r="AO112" s="44" t="s">
        <v>61</v>
      </c>
    </row>
    <row r="113" spans="1:41" ht="12" customHeight="1" x14ac:dyDescent="0.35">
      <c r="A113" s="29" t="s">
        <v>65</v>
      </c>
      <c r="B113" s="30" t="s">
        <v>60</v>
      </c>
      <c r="C113" s="29">
        <v>39</v>
      </c>
      <c r="D113" s="29" t="s">
        <v>66</v>
      </c>
      <c r="E113" s="31" t="s">
        <v>370</v>
      </c>
      <c r="F113" s="29">
        <v>33341</v>
      </c>
      <c r="G113" s="29" t="s">
        <v>59</v>
      </c>
      <c r="H113" s="32">
        <v>46104</v>
      </c>
      <c r="I113" s="33">
        <v>46104</v>
      </c>
      <c r="J113" s="34" t="s">
        <v>67</v>
      </c>
      <c r="K113" s="35">
        <v>0</v>
      </c>
      <c r="L113" s="35">
        <v>3.9884259259259258E-2</v>
      </c>
      <c r="M113" s="36">
        <v>8.3333333333333329E-2</v>
      </c>
      <c r="N113" s="35">
        <v>0.12321759259259259</v>
      </c>
      <c r="O113" s="37">
        <f>IF(N113&gt;M113,N113-M113,(N113+1)-M113)</f>
        <v>3.9884259259259258E-2</v>
      </c>
      <c r="P113" s="29" t="s">
        <v>225</v>
      </c>
      <c r="Q113" s="29" t="s">
        <v>59</v>
      </c>
      <c r="R113" s="29" t="s">
        <v>225</v>
      </c>
      <c r="S113" s="38" t="s">
        <v>49</v>
      </c>
      <c r="T113" s="39" t="s">
        <v>73</v>
      </c>
      <c r="U113" s="39" t="s">
        <v>59</v>
      </c>
      <c r="V113" s="38" t="s">
        <v>107</v>
      </c>
      <c r="W113" s="40" t="s">
        <v>59</v>
      </c>
      <c r="X113" s="13" t="s">
        <v>59</v>
      </c>
      <c r="Y113" s="13" t="s">
        <v>59</v>
      </c>
      <c r="Z113" s="13" t="s">
        <v>59</v>
      </c>
      <c r="AA113" s="13" t="s">
        <v>59</v>
      </c>
      <c r="AB113" s="41" t="s">
        <v>59</v>
      </c>
      <c r="AC113" s="16" t="s">
        <v>59</v>
      </c>
      <c r="AD113" s="42" t="s">
        <v>59</v>
      </c>
      <c r="AE113" s="42">
        <v>0</v>
      </c>
      <c r="AF113" s="42">
        <v>0</v>
      </c>
      <c r="AG113" s="43" t="s">
        <v>59</v>
      </c>
      <c r="AH113" s="43" t="s">
        <v>59</v>
      </c>
      <c r="AI113" s="43" t="s">
        <v>59</v>
      </c>
      <c r="AJ113" s="17" t="s">
        <v>59</v>
      </c>
      <c r="AK113" s="17" t="s">
        <v>59</v>
      </c>
      <c r="AL113" s="17">
        <v>0.33333333333333337</v>
      </c>
      <c r="AM113" s="17" t="s">
        <v>59</v>
      </c>
      <c r="AN113" s="17" t="s">
        <v>59</v>
      </c>
      <c r="AO113" s="44" t="s">
        <v>61</v>
      </c>
    </row>
    <row r="114" spans="1:41" ht="12" customHeight="1" x14ac:dyDescent="0.35">
      <c r="A114" s="29" t="s">
        <v>65</v>
      </c>
      <c r="B114" s="30" t="s">
        <v>60</v>
      </c>
      <c r="C114" s="29">
        <v>39</v>
      </c>
      <c r="D114" s="29" t="s">
        <v>66</v>
      </c>
      <c r="E114" s="31" t="s">
        <v>370</v>
      </c>
      <c r="F114" s="29">
        <v>33341</v>
      </c>
      <c r="G114" s="29" t="s">
        <v>59</v>
      </c>
      <c r="H114" s="32">
        <v>46104</v>
      </c>
      <c r="I114" s="33">
        <v>46104</v>
      </c>
      <c r="J114" s="34" t="s">
        <v>67</v>
      </c>
      <c r="K114" s="35">
        <v>0.16665509259259259</v>
      </c>
      <c r="L114" s="35">
        <v>0.20827546296296295</v>
      </c>
      <c r="M114" s="36">
        <v>0.24998842592592593</v>
      </c>
      <c r="N114" s="35">
        <v>0.29160879629629627</v>
      </c>
      <c r="O114" s="37">
        <f>IF(N114&gt;M114,N114-M114,(N114+1)-M114)</f>
        <v>4.1620370370370335E-2</v>
      </c>
      <c r="P114" s="29" t="s">
        <v>225</v>
      </c>
      <c r="Q114" s="29" t="s">
        <v>59</v>
      </c>
      <c r="R114" s="29" t="s">
        <v>225</v>
      </c>
      <c r="S114" s="38" t="s">
        <v>49</v>
      </c>
      <c r="T114" s="39" t="s">
        <v>73</v>
      </c>
      <c r="U114" s="39" t="s">
        <v>59</v>
      </c>
      <c r="V114" s="38" t="s">
        <v>107</v>
      </c>
      <c r="W114" s="40" t="s">
        <v>59</v>
      </c>
      <c r="X114" s="13" t="s">
        <v>59</v>
      </c>
      <c r="Y114" s="13" t="s">
        <v>59</v>
      </c>
      <c r="Z114" s="13" t="s">
        <v>59</v>
      </c>
      <c r="AA114" s="13" t="s">
        <v>59</v>
      </c>
      <c r="AB114" s="41" t="s">
        <v>59</v>
      </c>
      <c r="AC114" s="16" t="s">
        <v>59</v>
      </c>
      <c r="AD114" s="42" t="s">
        <v>59</v>
      </c>
      <c r="AE114" s="42">
        <v>0</v>
      </c>
      <c r="AF114" s="42">
        <v>0</v>
      </c>
      <c r="AG114" s="43" t="s">
        <v>59</v>
      </c>
      <c r="AH114" s="43" t="s">
        <v>59</v>
      </c>
      <c r="AI114" s="43" t="s">
        <v>59</v>
      </c>
      <c r="AJ114" s="17" t="s">
        <v>59</v>
      </c>
      <c r="AK114" s="17" t="s">
        <v>59</v>
      </c>
      <c r="AL114" s="17">
        <v>0.33333333333333337</v>
      </c>
      <c r="AM114" s="17" t="s">
        <v>59</v>
      </c>
      <c r="AN114" s="17" t="s">
        <v>59</v>
      </c>
      <c r="AO114" s="44" t="s">
        <v>61</v>
      </c>
    </row>
    <row r="115" spans="1:41" ht="12" customHeight="1" x14ac:dyDescent="0.35">
      <c r="A115" s="29" t="s">
        <v>96</v>
      </c>
      <c r="B115" s="30" t="s">
        <v>127</v>
      </c>
      <c r="C115" s="29">
        <v>5</v>
      </c>
      <c r="D115" s="29" t="s">
        <v>128</v>
      </c>
      <c r="E115" s="31" t="s">
        <v>129</v>
      </c>
      <c r="F115" s="29">
        <v>21831</v>
      </c>
      <c r="G115" s="29" t="s">
        <v>59</v>
      </c>
      <c r="H115" s="32">
        <v>46104</v>
      </c>
      <c r="I115" s="33">
        <v>46104</v>
      </c>
      <c r="J115" s="34" t="s">
        <v>67</v>
      </c>
      <c r="K115" s="35">
        <v>0.45665509259259257</v>
      </c>
      <c r="L115" s="35">
        <v>0.61833333333333329</v>
      </c>
      <c r="M115" s="36">
        <v>0.53998842592592589</v>
      </c>
      <c r="N115" s="35">
        <v>0.70166666666666666</v>
      </c>
      <c r="O115" s="37">
        <f>IF(N115&gt;M115,N115-M115,(N115+1)-M115)</f>
        <v>0.16167824074074078</v>
      </c>
      <c r="P115" s="29" t="s">
        <v>131</v>
      </c>
      <c r="Q115" s="29" t="s">
        <v>59</v>
      </c>
      <c r="R115" s="29" t="s">
        <v>131</v>
      </c>
      <c r="S115" s="38" t="s">
        <v>48</v>
      </c>
      <c r="T115" s="39" t="s">
        <v>73</v>
      </c>
      <c r="U115" s="39" t="s">
        <v>59</v>
      </c>
      <c r="V115" s="38" t="s">
        <v>107</v>
      </c>
      <c r="W115" s="40" t="s">
        <v>59</v>
      </c>
      <c r="X115" s="13" t="s">
        <v>59</v>
      </c>
      <c r="Y115" s="13" t="s">
        <v>59</v>
      </c>
      <c r="Z115" s="13" t="s">
        <v>59</v>
      </c>
      <c r="AA115" s="13" t="s">
        <v>59</v>
      </c>
      <c r="AB115" s="41" t="s">
        <v>59</v>
      </c>
      <c r="AC115" s="16" t="s">
        <v>59</v>
      </c>
      <c r="AD115" s="42" t="s">
        <v>59</v>
      </c>
      <c r="AE115" s="42">
        <v>2.2999999999999998</v>
      </c>
      <c r="AF115" s="42">
        <v>0.2</v>
      </c>
      <c r="AG115" s="43" t="s">
        <v>59</v>
      </c>
      <c r="AH115" s="43" t="s">
        <v>59</v>
      </c>
      <c r="AI115" s="43" t="s">
        <v>59</v>
      </c>
      <c r="AJ115" s="17" t="s">
        <v>59</v>
      </c>
      <c r="AK115" s="17" t="s">
        <v>59</v>
      </c>
      <c r="AL115" s="17">
        <v>0.38333333333333336</v>
      </c>
      <c r="AM115" s="17" t="s">
        <v>59</v>
      </c>
      <c r="AN115" s="17" t="s">
        <v>59</v>
      </c>
      <c r="AO115" s="44" t="s">
        <v>61</v>
      </c>
    </row>
    <row r="116" spans="1:41" ht="12" customHeight="1" x14ac:dyDescent="0.35">
      <c r="A116" s="29" t="s">
        <v>96</v>
      </c>
      <c r="B116" s="30" t="s">
        <v>138</v>
      </c>
      <c r="C116" s="29">
        <v>11</v>
      </c>
      <c r="D116" s="29" t="s">
        <v>139</v>
      </c>
      <c r="E116" s="31" t="s">
        <v>144</v>
      </c>
      <c r="F116" s="29">
        <v>1089</v>
      </c>
      <c r="G116" s="29" t="s">
        <v>59</v>
      </c>
      <c r="H116" s="32">
        <v>46103</v>
      </c>
      <c r="I116" s="33">
        <v>46103</v>
      </c>
      <c r="J116" s="34" t="s">
        <v>74</v>
      </c>
      <c r="K116" s="35">
        <v>0.6931018518518518</v>
      </c>
      <c r="L116" s="35">
        <v>0.69343750000000004</v>
      </c>
      <c r="M116" s="36">
        <v>0.77643518518518517</v>
      </c>
      <c r="N116" s="35">
        <v>0.7767708333333333</v>
      </c>
      <c r="O116" s="37">
        <f>IF(N116&gt;M116,N116-M116,(N116+1)-M116)</f>
        <v>3.356481481481266E-4</v>
      </c>
      <c r="P116" s="29" t="s">
        <v>141</v>
      </c>
      <c r="Q116" s="29" t="s">
        <v>142</v>
      </c>
      <c r="R116" s="29" t="s">
        <v>143</v>
      </c>
      <c r="S116" s="38" t="s">
        <v>46</v>
      </c>
      <c r="T116" s="39" t="s">
        <v>73</v>
      </c>
      <c r="U116" s="39" t="s">
        <v>59</v>
      </c>
      <c r="V116" s="38" t="s">
        <v>107</v>
      </c>
      <c r="W116" s="40" t="s">
        <v>59</v>
      </c>
      <c r="X116" s="13" t="s">
        <v>59</v>
      </c>
      <c r="Y116" s="13" t="s">
        <v>59</v>
      </c>
      <c r="Z116" s="13" t="s">
        <v>59</v>
      </c>
      <c r="AA116" s="13" t="s">
        <v>59</v>
      </c>
      <c r="AB116" s="41" t="s">
        <v>59</v>
      </c>
      <c r="AC116" s="16" t="s">
        <v>59</v>
      </c>
      <c r="AD116" s="42" t="s">
        <v>59</v>
      </c>
      <c r="AE116" s="42">
        <v>2.9</v>
      </c>
      <c r="AF116" s="42">
        <v>1.0900000000000001</v>
      </c>
      <c r="AG116" s="43" t="s">
        <v>59</v>
      </c>
      <c r="AH116" s="43" t="s">
        <v>59</v>
      </c>
      <c r="AI116" s="43" t="s">
        <v>59</v>
      </c>
      <c r="AJ116" s="17" t="s">
        <v>59</v>
      </c>
      <c r="AK116" s="17" t="s">
        <v>59</v>
      </c>
      <c r="AL116" s="17">
        <v>0.38666666666666666</v>
      </c>
      <c r="AM116" s="17" t="s">
        <v>59</v>
      </c>
      <c r="AN116" s="17" t="s">
        <v>59</v>
      </c>
      <c r="AO116" s="44" t="s">
        <v>61</v>
      </c>
    </row>
    <row r="117" spans="1:41" ht="12" customHeight="1" x14ac:dyDescent="0.35">
      <c r="A117" s="29" t="s">
        <v>65</v>
      </c>
      <c r="B117" s="30" t="s">
        <v>60</v>
      </c>
      <c r="C117" s="29">
        <v>39</v>
      </c>
      <c r="D117" s="29" t="s">
        <v>66</v>
      </c>
      <c r="E117" s="31" t="s">
        <v>370</v>
      </c>
      <c r="F117" s="29">
        <v>33341</v>
      </c>
      <c r="G117" s="29" t="s">
        <v>59</v>
      </c>
      <c r="H117" s="32">
        <v>46102</v>
      </c>
      <c r="I117" s="33">
        <v>46102</v>
      </c>
      <c r="J117" s="34" t="s">
        <v>71</v>
      </c>
      <c r="K117" s="35">
        <v>6.9444444444444448E-2</v>
      </c>
      <c r="L117" s="35">
        <v>0.15818287037037038</v>
      </c>
      <c r="M117" s="36">
        <v>0.15277777777777779</v>
      </c>
      <c r="N117" s="35">
        <v>0.24151620370370369</v>
      </c>
      <c r="O117" s="37">
        <f>IF(N117&gt;M117,N117-M117,(N117+1)-M117)</f>
        <v>8.8738425925925901E-2</v>
      </c>
      <c r="P117" s="29" t="s">
        <v>225</v>
      </c>
      <c r="Q117" s="29" t="s">
        <v>59</v>
      </c>
      <c r="R117" s="29" t="s">
        <v>225</v>
      </c>
      <c r="S117" s="38" t="s">
        <v>48</v>
      </c>
      <c r="T117" s="39" t="s">
        <v>73</v>
      </c>
      <c r="U117" s="39" t="s">
        <v>59</v>
      </c>
      <c r="V117" s="38" t="s">
        <v>100</v>
      </c>
      <c r="W117" s="40" t="s">
        <v>59</v>
      </c>
      <c r="X117" s="13" t="s">
        <v>59</v>
      </c>
      <c r="Y117" s="13" t="s">
        <v>59</v>
      </c>
      <c r="Z117" s="13" t="s">
        <v>59</v>
      </c>
      <c r="AA117" s="13" t="s">
        <v>59</v>
      </c>
      <c r="AB117" s="41" t="s">
        <v>59</v>
      </c>
      <c r="AC117" s="16" t="s">
        <v>59</v>
      </c>
      <c r="AD117" s="42" t="s">
        <v>59</v>
      </c>
      <c r="AE117" s="42">
        <v>0</v>
      </c>
      <c r="AF117" s="42">
        <v>0</v>
      </c>
      <c r="AG117" s="43" t="s">
        <v>59</v>
      </c>
      <c r="AH117" s="43" t="s">
        <v>59</v>
      </c>
      <c r="AI117" s="43" t="s">
        <v>59</v>
      </c>
      <c r="AJ117" s="17" t="s">
        <v>59</v>
      </c>
      <c r="AK117" s="17" t="s">
        <v>59</v>
      </c>
      <c r="AL117" s="17">
        <v>0.4</v>
      </c>
      <c r="AM117" s="17" t="s">
        <v>59</v>
      </c>
      <c r="AN117" s="17" t="s">
        <v>59</v>
      </c>
      <c r="AO117" s="44" t="s">
        <v>61</v>
      </c>
    </row>
    <row r="118" spans="1:41" ht="12" customHeight="1" x14ac:dyDescent="0.35">
      <c r="A118" s="29" t="s">
        <v>65</v>
      </c>
      <c r="B118" s="30" t="s">
        <v>60</v>
      </c>
      <c r="C118" s="29">
        <v>39</v>
      </c>
      <c r="D118" s="29" t="s">
        <v>66</v>
      </c>
      <c r="E118" s="31" t="s">
        <v>370</v>
      </c>
      <c r="F118" s="29">
        <v>33341</v>
      </c>
      <c r="G118" s="29" t="s">
        <v>59</v>
      </c>
      <c r="H118" s="32">
        <v>46102</v>
      </c>
      <c r="I118" s="33">
        <v>46102</v>
      </c>
      <c r="J118" s="34" t="s">
        <v>71</v>
      </c>
      <c r="K118" s="35">
        <v>0.15819444444444444</v>
      </c>
      <c r="L118" s="35">
        <v>0.18089120370370371</v>
      </c>
      <c r="M118" s="36">
        <v>0.24152777777777779</v>
      </c>
      <c r="N118" s="35">
        <v>0.26422453703703702</v>
      </c>
      <c r="O118" s="37">
        <f>IF(N118&gt;M118,N118-M118,(N118+1)-M118)</f>
        <v>2.2696759259259236E-2</v>
      </c>
      <c r="P118" s="29" t="s">
        <v>224</v>
      </c>
      <c r="Q118" s="29" t="s">
        <v>59</v>
      </c>
      <c r="R118" s="29" t="s">
        <v>224</v>
      </c>
      <c r="S118" s="38" t="s">
        <v>49</v>
      </c>
      <c r="T118" s="39" t="s">
        <v>73</v>
      </c>
      <c r="U118" s="39" t="s">
        <v>59</v>
      </c>
      <c r="V118" s="38" t="s">
        <v>100</v>
      </c>
      <c r="W118" s="40" t="s">
        <v>59</v>
      </c>
      <c r="X118" s="13" t="s">
        <v>59</v>
      </c>
      <c r="Y118" s="13" t="s">
        <v>59</v>
      </c>
      <c r="Z118" s="13" t="s">
        <v>59</v>
      </c>
      <c r="AA118" s="13" t="s">
        <v>59</v>
      </c>
      <c r="AB118" s="41" t="s">
        <v>59</v>
      </c>
      <c r="AC118" s="16" t="s">
        <v>59</v>
      </c>
      <c r="AD118" s="42" t="s">
        <v>59</v>
      </c>
      <c r="AE118" s="42">
        <v>0</v>
      </c>
      <c r="AF118" s="42">
        <v>0</v>
      </c>
      <c r="AG118" s="43" t="s">
        <v>59</v>
      </c>
      <c r="AH118" s="43" t="s">
        <v>59</v>
      </c>
      <c r="AI118" s="43" t="s">
        <v>59</v>
      </c>
      <c r="AJ118" s="17" t="s">
        <v>59</v>
      </c>
      <c r="AK118" s="17" t="s">
        <v>59</v>
      </c>
      <c r="AL118" s="17">
        <v>0.4</v>
      </c>
      <c r="AM118" s="17" t="s">
        <v>59</v>
      </c>
      <c r="AN118" s="17" t="s">
        <v>59</v>
      </c>
      <c r="AO118" s="44" t="s">
        <v>61</v>
      </c>
    </row>
    <row r="119" spans="1:41" ht="12" customHeight="1" x14ac:dyDescent="0.35">
      <c r="A119" s="29" t="s">
        <v>65</v>
      </c>
      <c r="B119" s="30" t="s">
        <v>60</v>
      </c>
      <c r="C119" s="29">
        <v>39</v>
      </c>
      <c r="D119" s="29" t="s">
        <v>66</v>
      </c>
      <c r="E119" s="31" t="s">
        <v>370</v>
      </c>
      <c r="F119" s="29">
        <v>33341</v>
      </c>
      <c r="G119" s="29" t="s">
        <v>59</v>
      </c>
      <c r="H119" s="32">
        <v>46102</v>
      </c>
      <c r="I119" s="33">
        <v>46102</v>
      </c>
      <c r="J119" s="34" t="s">
        <v>71</v>
      </c>
      <c r="K119" s="35">
        <v>0.18443287037037037</v>
      </c>
      <c r="L119" s="35">
        <v>0.19866898148148149</v>
      </c>
      <c r="M119" s="36">
        <v>0.26776620370370369</v>
      </c>
      <c r="N119" s="35">
        <v>0.2820023148148148</v>
      </c>
      <c r="O119" s="37">
        <f>IF(N119&gt;M119,N119-M119,(N119+1)-M119)</f>
        <v>1.4236111111111116E-2</v>
      </c>
      <c r="P119" s="29" t="s">
        <v>224</v>
      </c>
      <c r="Q119" s="29" t="s">
        <v>59</v>
      </c>
      <c r="R119" s="29" t="s">
        <v>224</v>
      </c>
      <c r="S119" s="38" t="s">
        <v>49</v>
      </c>
      <c r="T119" s="39" t="s">
        <v>73</v>
      </c>
      <c r="U119" s="39" t="s">
        <v>59</v>
      </c>
      <c r="V119" s="38" t="s">
        <v>100</v>
      </c>
      <c r="W119" s="40" t="s">
        <v>59</v>
      </c>
      <c r="X119" s="13" t="s">
        <v>59</v>
      </c>
      <c r="Y119" s="13" t="s">
        <v>59</v>
      </c>
      <c r="Z119" s="13" t="s">
        <v>59</v>
      </c>
      <c r="AA119" s="13" t="s">
        <v>59</v>
      </c>
      <c r="AB119" s="41" t="s">
        <v>59</v>
      </c>
      <c r="AC119" s="16" t="s">
        <v>59</v>
      </c>
      <c r="AD119" s="42" t="s">
        <v>59</v>
      </c>
      <c r="AE119" s="42">
        <v>0</v>
      </c>
      <c r="AF119" s="42">
        <v>0</v>
      </c>
      <c r="AG119" s="43" t="s">
        <v>59</v>
      </c>
      <c r="AH119" s="43" t="s">
        <v>59</v>
      </c>
      <c r="AI119" s="43" t="s">
        <v>59</v>
      </c>
      <c r="AJ119" s="17" t="s">
        <v>59</v>
      </c>
      <c r="AK119" s="17" t="s">
        <v>59</v>
      </c>
      <c r="AL119" s="17">
        <v>0.4</v>
      </c>
      <c r="AM119" s="17" t="s">
        <v>59</v>
      </c>
      <c r="AN119" s="17" t="s">
        <v>59</v>
      </c>
      <c r="AO119" s="44" t="s">
        <v>61</v>
      </c>
    </row>
    <row r="120" spans="1:41" ht="12" customHeight="1" x14ac:dyDescent="0.35">
      <c r="A120" s="29" t="s">
        <v>65</v>
      </c>
      <c r="B120" s="30" t="s">
        <v>60</v>
      </c>
      <c r="C120" s="29">
        <v>39</v>
      </c>
      <c r="D120" s="29" t="s">
        <v>66</v>
      </c>
      <c r="E120" s="31" t="s">
        <v>370</v>
      </c>
      <c r="F120" s="29">
        <v>33341</v>
      </c>
      <c r="G120" s="29" t="s">
        <v>59</v>
      </c>
      <c r="H120" s="32">
        <v>46102</v>
      </c>
      <c r="I120" s="33">
        <v>46102</v>
      </c>
      <c r="J120" s="34" t="s">
        <v>71</v>
      </c>
      <c r="K120" s="35">
        <v>0.3671875</v>
      </c>
      <c r="L120" s="35">
        <v>0.37163194444444442</v>
      </c>
      <c r="M120" s="36">
        <v>0.45052083333333331</v>
      </c>
      <c r="N120" s="35">
        <v>0.45496527777777779</v>
      </c>
      <c r="O120" s="37">
        <f>IF(N120&gt;M120,N120-M120,(N120+1)-M120)</f>
        <v>4.4444444444444731E-3</v>
      </c>
      <c r="P120" s="29" t="s">
        <v>224</v>
      </c>
      <c r="Q120" s="29" t="s">
        <v>59</v>
      </c>
      <c r="R120" s="29" t="s">
        <v>224</v>
      </c>
      <c r="S120" s="38" t="s">
        <v>49</v>
      </c>
      <c r="T120" s="39" t="s">
        <v>73</v>
      </c>
      <c r="U120" s="39" t="s">
        <v>59</v>
      </c>
      <c r="V120" s="38" t="s">
        <v>100</v>
      </c>
      <c r="W120" s="40" t="s">
        <v>59</v>
      </c>
      <c r="X120" s="13" t="s">
        <v>59</v>
      </c>
      <c r="Y120" s="13" t="s">
        <v>59</v>
      </c>
      <c r="Z120" s="13" t="s">
        <v>59</v>
      </c>
      <c r="AA120" s="13" t="s">
        <v>59</v>
      </c>
      <c r="AB120" s="41" t="s">
        <v>59</v>
      </c>
      <c r="AC120" s="16" t="s">
        <v>59</v>
      </c>
      <c r="AD120" s="42" t="s">
        <v>59</v>
      </c>
      <c r="AE120" s="42">
        <v>0</v>
      </c>
      <c r="AF120" s="42">
        <v>0</v>
      </c>
      <c r="AG120" s="43" t="s">
        <v>59</v>
      </c>
      <c r="AH120" s="43" t="s">
        <v>59</v>
      </c>
      <c r="AI120" s="43" t="s">
        <v>59</v>
      </c>
      <c r="AJ120" s="17" t="s">
        <v>59</v>
      </c>
      <c r="AK120" s="17" t="s">
        <v>59</v>
      </c>
      <c r="AL120" s="17">
        <v>0.4</v>
      </c>
      <c r="AM120" s="17" t="s">
        <v>59</v>
      </c>
      <c r="AN120" s="17" t="s">
        <v>59</v>
      </c>
      <c r="AO120" s="44" t="s">
        <v>61</v>
      </c>
    </row>
    <row r="121" spans="1:41" ht="12" customHeight="1" x14ac:dyDescent="0.35">
      <c r="A121" s="29" t="s">
        <v>65</v>
      </c>
      <c r="B121" s="30" t="s">
        <v>60</v>
      </c>
      <c r="C121" s="29">
        <v>39</v>
      </c>
      <c r="D121" s="29" t="s">
        <v>66</v>
      </c>
      <c r="E121" s="31" t="s">
        <v>370</v>
      </c>
      <c r="F121" s="29">
        <v>33341</v>
      </c>
      <c r="G121" s="29" t="s">
        <v>59</v>
      </c>
      <c r="H121" s="32">
        <v>46103</v>
      </c>
      <c r="I121" s="33">
        <v>46103</v>
      </c>
      <c r="J121" s="34" t="s">
        <v>74</v>
      </c>
      <c r="K121" s="35">
        <v>0.16665509259259259</v>
      </c>
      <c r="L121" s="35">
        <v>0.20472222222222222</v>
      </c>
      <c r="M121" s="36">
        <v>0.24998842592592593</v>
      </c>
      <c r="N121" s="35">
        <v>0.28805555555555556</v>
      </c>
      <c r="O121" s="37">
        <f>IF(N121&gt;M121,N121-M121,(N121+1)-M121)</f>
        <v>3.8067129629629631E-2</v>
      </c>
      <c r="P121" s="29" t="s">
        <v>225</v>
      </c>
      <c r="Q121" s="29" t="s">
        <v>59</v>
      </c>
      <c r="R121" s="29" t="s">
        <v>225</v>
      </c>
      <c r="S121" s="38" t="s">
        <v>49</v>
      </c>
      <c r="T121" s="39" t="s">
        <v>73</v>
      </c>
      <c r="U121" s="39" t="s">
        <v>59</v>
      </c>
      <c r="V121" s="38" t="s">
        <v>104</v>
      </c>
      <c r="W121" s="40" t="s">
        <v>59</v>
      </c>
      <c r="X121" s="13" t="s">
        <v>59</v>
      </c>
      <c r="Y121" s="13" t="s">
        <v>59</v>
      </c>
      <c r="Z121" s="13" t="s">
        <v>59</v>
      </c>
      <c r="AA121" s="13" t="s">
        <v>59</v>
      </c>
      <c r="AB121" s="41" t="s">
        <v>59</v>
      </c>
      <c r="AC121" s="16" t="s">
        <v>59</v>
      </c>
      <c r="AD121" s="42" t="s">
        <v>59</v>
      </c>
      <c r="AE121" s="42">
        <v>0</v>
      </c>
      <c r="AF121" s="42">
        <v>0</v>
      </c>
      <c r="AG121" s="43" t="s">
        <v>59</v>
      </c>
      <c r="AH121" s="43" t="s">
        <v>59</v>
      </c>
      <c r="AI121" s="43" t="s">
        <v>59</v>
      </c>
      <c r="AJ121" s="17" t="s">
        <v>59</v>
      </c>
      <c r="AK121" s="17" t="s">
        <v>59</v>
      </c>
      <c r="AL121" s="17">
        <v>0.4</v>
      </c>
      <c r="AM121" s="17" t="s">
        <v>59</v>
      </c>
      <c r="AN121" s="17" t="s">
        <v>59</v>
      </c>
      <c r="AO121" s="44" t="s">
        <v>61</v>
      </c>
    </row>
    <row r="122" spans="1:41" ht="12" customHeight="1" x14ac:dyDescent="0.35">
      <c r="A122" s="29" t="s">
        <v>65</v>
      </c>
      <c r="B122" s="30" t="s">
        <v>60</v>
      </c>
      <c r="C122" s="29">
        <v>39</v>
      </c>
      <c r="D122" s="29" t="s">
        <v>66</v>
      </c>
      <c r="E122" s="31" t="s">
        <v>370</v>
      </c>
      <c r="F122" s="29">
        <v>33341</v>
      </c>
      <c r="G122" s="29" t="s">
        <v>59</v>
      </c>
      <c r="H122" s="32">
        <v>46103</v>
      </c>
      <c r="I122" s="33">
        <v>46103</v>
      </c>
      <c r="J122" s="34" t="s">
        <v>74</v>
      </c>
      <c r="K122" s="35">
        <v>0.27858796296296295</v>
      </c>
      <c r="L122" s="35">
        <v>0.31503472222222223</v>
      </c>
      <c r="M122" s="36">
        <v>0.36192129629629627</v>
      </c>
      <c r="N122" s="35">
        <v>0.39836805555555554</v>
      </c>
      <c r="O122" s="37">
        <f>IF(N122&gt;M122,N122-M122,(N122+1)-M122)</f>
        <v>3.6446759259259276E-2</v>
      </c>
      <c r="P122" s="29" t="s">
        <v>225</v>
      </c>
      <c r="Q122" s="29" t="s">
        <v>59</v>
      </c>
      <c r="R122" s="29" t="s">
        <v>225</v>
      </c>
      <c r="S122" s="38" t="s">
        <v>49</v>
      </c>
      <c r="T122" s="39" t="s">
        <v>73</v>
      </c>
      <c r="U122" s="39" t="s">
        <v>59</v>
      </c>
      <c r="V122" s="38" t="s">
        <v>104</v>
      </c>
      <c r="W122" s="40" t="s">
        <v>59</v>
      </c>
      <c r="X122" s="13" t="s">
        <v>59</v>
      </c>
      <c r="Y122" s="13" t="s">
        <v>59</v>
      </c>
      <c r="Z122" s="13" t="s">
        <v>59</v>
      </c>
      <c r="AA122" s="13" t="s">
        <v>59</v>
      </c>
      <c r="AB122" s="41" t="s">
        <v>59</v>
      </c>
      <c r="AC122" s="16" t="s">
        <v>59</v>
      </c>
      <c r="AD122" s="42" t="s">
        <v>59</v>
      </c>
      <c r="AE122" s="42">
        <v>0.1</v>
      </c>
      <c r="AF122" s="42">
        <v>0</v>
      </c>
      <c r="AG122" s="43" t="s">
        <v>59</v>
      </c>
      <c r="AH122" s="43" t="s">
        <v>59</v>
      </c>
      <c r="AI122" s="43" t="s">
        <v>59</v>
      </c>
      <c r="AJ122" s="17" t="s">
        <v>59</v>
      </c>
      <c r="AK122" s="17" t="s">
        <v>59</v>
      </c>
      <c r="AL122" s="17">
        <v>0.4</v>
      </c>
      <c r="AM122" s="17" t="s">
        <v>59</v>
      </c>
      <c r="AN122" s="17" t="s">
        <v>59</v>
      </c>
      <c r="AO122" s="44" t="s">
        <v>61</v>
      </c>
    </row>
    <row r="123" spans="1:41" ht="12" customHeight="1" x14ac:dyDescent="0.35">
      <c r="A123" s="29" t="s">
        <v>65</v>
      </c>
      <c r="B123" s="30" t="s">
        <v>60</v>
      </c>
      <c r="C123" s="29">
        <v>39</v>
      </c>
      <c r="D123" s="29" t="s">
        <v>66</v>
      </c>
      <c r="E123" s="31" t="s">
        <v>370</v>
      </c>
      <c r="F123" s="29">
        <v>33341</v>
      </c>
      <c r="G123" s="29" t="s">
        <v>59</v>
      </c>
      <c r="H123" s="32">
        <v>46105</v>
      </c>
      <c r="I123" s="33">
        <v>46105</v>
      </c>
      <c r="J123" s="34" t="s">
        <v>99</v>
      </c>
      <c r="K123" s="35">
        <v>0.16665509259259259</v>
      </c>
      <c r="L123" s="35">
        <v>0.26050925925925927</v>
      </c>
      <c r="M123" s="36">
        <v>0.24998842592592593</v>
      </c>
      <c r="N123" s="35">
        <v>0.34384259259259259</v>
      </c>
      <c r="O123" s="37">
        <f>IF(N123&gt;M123,N123-M123,(N123+1)-M123)</f>
        <v>9.3854166666666655E-2</v>
      </c>
      <c r="P123" s="29" t="s">
        <v>225</v>
      </c>
      <c r="Q123" s="29" t="s">
        <v>59</v>
      </c>
      <c r="R123" s="29" t="s">
        <v>225</v>
      </c>
      <c r="S123" s="38" t="s">
        <v>48</v>
      </c>
      <c r="T123" s="39" t="s">
        <v>73</v>
      </c>
      <c r="U123" s="39" t="s">
        <v>59</v>
      </c>
      <c r="V123" s="38" t="s">
        <v>107</v>
      </c>
      <c r="W123" s="40" t="s">
        <v>59</v>
      </c>
      <c r="X123" s="13" t="s">
        <v>59</v>
      </c>
      <c r="Y123" s="13" t="s">
        <v>59</v>
      </c>
      <c r="Z123" s="13" t="s">
        <v>59</v>
      </c>
      <c r="AA123" s="13" t="s">
        <v>59</v>
      </c>
      <c r="AB123" s="41" t="s">
        <v>59</v>
      </c>
      <c r="AC123" s="16" t="s">
        <v>59</v>
      </c>
      <c r="AD123" s="42" t="s">
        <v>59</v>
      </c>
      <c r="AE123" s="42">
        <v>0.7</v>
      </c>
      <c r="AF123" s="42">
        <v>0.02</v>
      </c>
      <c r="AG123" s="43" t="s">
        <v>59</v>
      </c>
      <c r="AH123" s="43" t="s">
        <v>59</v>
      </c>
      <c r="AI123" s="43" t="s">
        <v>59</v>
      </c>
      <c r="AJ123" s="17" t="s">
        <v>59</v>
      </c>
      <c r="AK123" s="17" t="s">
        <v>59</v>
      </c>
      <c r="AL123" s="17">
        <v>0.46666666666666667</v>
      </c>
      <c r="AM123" s="17" t="s">
        <v>59</v>
      </c>
      <c r="AN123" s="17" t="s">
        <v>59</v>
      </c>
      <c r="AO123" s="44" t="s">
        <v>61</v>
      </c>
    </row>
    <row r="124" spans="1:41" ht="12" customHeight="1" x14ac:dyDescent="0.35">
      <c r="A124" s="29" t="s">
        <v>68</v>
      </c>
      <c r="B124" s="30" t="s">
        <v>111</v>
      </c>
      <c r="C124" s="29">
        <v>78</v>
      </c>
      <c r="D124" s="29" t="s">
        <v>112</v>
      </c>
      <c r="E124" s="31" t="s">
        <v>121</v>
      </c>
      <c r="F124" s="29">
        <v>4586</v>
      </c>
      <c r="G124" s="29" t="s">
        <v>59</v>
      </c>
      <c r="H124" s="32">
        <v>46105</v>
      </c>
      <c r="I124" s="33">
        <v>46105</v>
      </c>
      <c r="J124" s="34" t="s">
        <v>99</v>
      </c>
      <c r="K124" s="35">
        <v>0.62986111111111109</v>
      </c>
      <c r="L124" s="35">
        <v>0.6694444444444444</v>
      </c>
      <c r="M124" s="36">
        <v>0.50486111111111109</v>
      </c>
      <c r="N124" s="35">
        <v>0.5444444444444444</v>
      </c>
      <c r="O124" s="37">
        <f>IF(N124&gt;M124,N124-M124,(N124+1)-M124)</f>
        <v>3.9583333333333304E-2</v>
      </c>
      <c r="P124" s="29" t="s">
        <v>122</v>
      </c>
      <c r="Q124" s="29" t="s">
        <v>123</v>
      </c>
      <c r="R124" s="29" t="s">
        <v>124</v>
      </c>
      <c r="S124" s="38" t="s">
        <v>49</v>
      </c>
      <c r="T124" s="39" t="s">
        <v>73</v>
      </c>
      <c r="U124" s="39" t="s">
        <v>59</v>
      </c>
      <c r="V124" s="38" t="s">
        <v>107</v>
      </c>
      <c r="W124" s="40" t="s">
        <v>59</v>
      </c>
      <c r="X124" s="13" t="s">
        <v>59</v>
      </c>
      <c r="Y124" s="13" t="s">
        <v>59</v>
      </c>
      <c r="Z124" s="13" t="s">
        <v>59</v>
      </c>
      <c r="AA124" s="13" t="s">
        <v>59</v>
      </c>
      <c r="AB124" s="41" t="s">
        <v>59</v>
      </c>
      <c r="AC124" s="16" t="s">
        <v>59</v>
      </c>
      <c r="AD124" s="42" t="s">
        <v>59</v>
      </c>
      <c r="AE124" s="42">
        <v>0.53</v>
      </c>
      <c r="AF124" s="42">
        <v>0</v>
      </c>
      <c r="AG124" s="43" t="s">
        <v>59</v>
      </c>
      <c r="AH124" s="43" t="s">
        <v>59</v>
      </c>
      <c r="AI124" s="43" t="s">
        <v>59</v>
      </c>
      <c r="AJ124" s="17" t="s">
        <v>59</v>
      </c>
      <c r="AK124" s="17" t="s">
        <v>59</v>
      </c>
      <c r="AL124" s="17">
        <v>0.53254230279898229</v>
      </c>
      <c r="AM124" s="17" t="s">
        <v>59</v>
      </c>
      <c r="AN124" s="17" t="s">
        <v>59</v>
      </c>
      <c r="AO124" s="44" t="s">
        <v>61</v>
      </c>
    </row>
    <row r="125" spans="1:41" ht="12" customHeight="1" x14ac:dyDescent="0.35">
      <c r="A125" s="29" t="s">
        <v>68</v>
      </c>
      <c r="B125" s="30" t="s">
        <v>111</v>
      </c>
      <c r="C125" s="29">
        <v>78</v>
      </c>
      <c r="D125" s="29" t="s">
        <v>112</v>
      </c>
      <c r="E125" s="31" t="s">
        <v>121</v>
      </c>
      <c r="F125" s="29">
        <v>4586</v>
      </c>
      <c r="G125" s="29" t="s">
        <v>59</v>
      </c>
      <c r="H125" s="32">
        <v>46105</v>
      </c>
      <c r="I125" s="33">
        <v>46105</v>
      </c>
      <c r="J125" s="34" t="s">
        <v>99</v>
      </c>
      <c r="K125" s="35">
        <v>0.67569444444444449</v>
      </c>
      <c r="L125" s="35">
        <v>0.69236111111111109</v>
      </c>
      <c r="M125" s="36">
        <v>0.55069444444444449</v>
      </c>
      <c r="N125" s="35">
        <v>0.56736111111111109</v>
      </c>
      <c r="O125" s="37">
        <f>IF(N125&gt;M125,N125-M125,(N125+1)-M125)</f>
        <v>1.6666666666666607E-2</v>
      </c>
      <c r="P125" s="29" t="s">
        <v>122</v>
      </c>
      <c r="Q125" s="29" t="s">
        <v>123</v>
      </c>
      <c r="R125" s="29" t="s">
        <v>124</v>
      </c>
      <c r="S125" s="38" t="s">
        <v>49</v>
      </c>
      <c r="T125" s="39" t="s">
        <v>73</v>
      </c>
      <c r="U125" s="39" t="s">
        <v>59</v>
      </c>
      <c r="V125" s="38" t="s">
        <v>107</v>
      </c>
      <c r="W125" s="40" t="s">
        <v>59</v>
      </c>
      <c r="X125" s="13" t="s">
        <v>59</v>
      </c>
      <c r="Y125" s="13" t="s">
        <v>59</v>
      </c>
      <c r="Z125" s="13" t="s">
        <v>59</v>
      </c>
      <c r="AA125" s="13" t="s">
        <v>59</v>
      </c>
      <c r="AB125" s="41" t="s">
        <v>59</v>
      </c>
      <c r="AC125" s="16" t="s">
        <v>59</v>
      </c>
      <c r="AD125" s="42" t="s">
        <v>59</v>
      </c>
      <c r="AE125" s="42">
        <v>1.71</v>
      </c>
      <c r="AF125" s="42">
        <v>0.01</v>
      </c>
      <c r="AG125" s="43" t="s">
        <v>59</v>
      </c>
      <c r="AH125" s="43" t="s">
        <v>59</v>
      </c>
      <c r="AI125" s="43" t="s">
        <v>59</v>
      </c>
      <c r="AJ125" s="17" t="s">
        <v>59</v>
      </c>
      <c r="AK125" s="17" t="s">
        <v>59</v>
      </c>
      <c r="AL125" s="17">
        <v>0.53254230279898229</v>
      </c>
      <c r="AM125" s="17" t="s">
        <v>59</v>
      </c>
      <c r="AN125" s="17" t="s">
        <v>59</v>
      </c>
      <c r="AO125" s="44" t="s">
        <v>61</v>
      </c>
    </row>
    <row r="126" spans="1:41" ht="12" customHeight="1" x14ac:dyDescent="0.35">
      <c r="A126" s="29" t="s">
        <v>68</v>
      </c>
      <c r="B126" s="30" t="s">
        <v>111</v>
      </c>
      <c r="C126" s="29">
        <v>78</v>
      </c>
      <c r="D126" s="29" t="s">
        <v>112</v>
      </c>
      <c r="E126" s="31" t="s">
        <v>121</v>
      </c>
      <c r="F126" s="29">
        <v>4586</v>
      </c>
      <c r="G126" s="29" t="s">
        <v>59</v>
      </c>
      <c r="H126" s="32">
        <v>46105</v>
      </c>
      <c r="I126" s="33">
        <v>46105</v>
      </c>
      <c r="J126" s="34" t="s">
        <v>99</v>
      </c>
      <c r="K126" s="35">
        <v>0.69513888888888886</v>
      </c>
      <c r="L126" s="35">
        <v>0.69930555555555551</v>
      </c>
      <c r="M126" s="36">
        <v>0.57013888888888886</v>
      </c>
      <c r="N126" s="35">
        <v>0.57430555555555551</v>
      </c>
      <c r="O126" s="37">
        <f>IF(N126&gt;M126,N126-M126,(N126+1)-M126)</f>
        <v>4.1666666666666519E-3</v>
      </c>
      <c r="P126" s="29" t="s">
        <v>122</v>
      </c>
      <c r="Q126" s="29" t="s">
        <v>125</v>
      </c>
      <c r="R126" s="29" t="s">
        <v>126</v>
      </c>
      <c r="S126" s="38" t="s">
        <v>49</v>
      </c>
      <c r="T126" s="39" t="s">
        <v>73</v>
      </c>
      <c r="U126" s="39" t="s">
        <v>59</v>
      </c>
      <c r="V126" s="38" t="s">
        <v>107</v>
      </c>
      <c r="W126" s="40" t="s">
        <v>59</v>
      </c>
      <c r="X126" s="13" t="s">
        <v>59</v>
      </c>
      <c r="Y126" s="13" t="s">
        <v>59</v>
      </c>
      <c r="Z126" s="13" t="s">
        <v>59</v>
      </c>
      <c r="AA126" s="13" t="s">
        <v>59</v>
      </c>
      <c r="AB126" s="41" t="s">
        <v>59</v>
      </c>
      <c r="AC126" s="16" t="s">
        <v>59</v>
      </c>
      <c r="AD126" s="42" t="s">
        <v>59</v>
      </c>
      <c r="AE126" s="42">
        <v>0</v>
      </c>
      <c r="AF126" s="42">
        <v>0</v>
      </c>
      <c r="AG126" s="43" t="s">
        <v>59</v>
      </c>
      <c r="AH126" s="43" t="s">
        <v>59</v>
      </c>
      <c r="AI126" s="43" t="s">
        <v>59</v>
      </c>
      <c r="AJ126" s="17" t="s">
        <v>59</v>
      </c>
      <c r="AK126" s="17" t="s">
        <v>59</v>
      </c>
      <c r="AL126" s="17">
        <v>0.53254230279898229</v>
      </c>
      <c r="AM126" s="17" t="s">
        <v>59</v>
      </c>
      <c r="AN126" s="17" t="s">
        <v>59</v>
      </c>
      <c r="AO126" s="44" t="s">
        <v>61</v>
      </c>
    </row>
    <row r="127" spans="1:41" ht="12" customHeight="1" x14ac:dyDescent="0.35">
      <c r="A127" s="29" t="s">
        <v>68</v>
      </c>
      <c r="B127" s="30" t="s">
        <v>111</v>
      </c>
      <c r="C127" s="29">
        <v>78</v>
      </c>
      <c r="D127" s="29" t="s">
        <v>112</v>
      </c>
      <c r="E127" s="31" t="s">
        <v>121</v>
      </c>
      <c r="F127" s="29">
        <v>4586</v>
      </c>
      <c r="G127" s="29" t="s">
        <v>59</v>
      </c>
      <c r="H127" s="32">
        <v>46105</v>
      </c>
      <c r="I127" s="33">
        <v>46105</v>
      </c>
      <c r="J127" s="34" t="s">
        <v>99</v>
      </c>
      <c r="K127" s="35">
        <v>0.69930555555555551</v>
      </c>
      <c r="L127" s="35">
        <v>0.70416666666666672</v>
      </c>
      <c r="M127" s="36">
        <v>0.57430555555555551</v>
      </c>
      <c r="N127" s="35">
        <v>0.57916666666666672</v>
      </c>
      <c r="O127" s="37">
        <f>IF(N127&gt;M127,N127-M127,(N127+1)-M127)</f>
        <v>4.8611111111112049E-3</v>
      </c>
      <c r="P127" s="29" t="s">
        <v>122</v>
      </c>
      <c r="Q127" s="29" t="s">
        <v>123</v>
      </c>
      <c r="R127" s="29" t="s">
        <v>124</v>
      </c>
      <c r="S127" s="38" t="s">
        <v>49</v>
      </c>
      <c r="T127" s="39" t="s">
        <v>73</v>
      </c>
      <c r="U127" s="39" t="s">
        <v>59</v>
      </c>
      <c r="V127" s="38" t="s">
        <v>107</v>
      </c>
      <c r="W127" s="40" t="s">
        <v>59</v>
      </c>
      <c r="X127" s="13" t="s">
        <v>59</v>
      </c>
      <c r="Y127" s="13" t="s">
        <v>59</v>
      </c>
      <c r="Z127" s="13" t="s">
        <v>59</v>
      </c>
      <c r="AA127" s="13" t="s">
        <v>59</v>
      </c>
      <c r="AB127" s="41" t="s">
        <v>59</v>
      </c>
      <c r="AC127" s="16" t="s">
        <v>59</v>
      </c>
      <c r="AD127" s="42" t="s">
        <v>59</v>
      </c>
      <c r="AE127" s="42">
        <v>0</v>
      </c>
      <c r="AF127" s="42">
        <v>0</v>
      </c>
      <c r="AG127" s="43" t="s">
        <v>59</v>
      </c>
      <c r="AH127" s="43" t="s">
        <v>59</v>
      </c>
      <c r="AI127" s="43" t="s">
        <v>59</v>
      </c>
      <c r="AJ127" s="17" t="s">
        <v>59</v>
      </c>
      <c r="AK127" s="17" t="s">
        <v>59</v>
      </c>
      <c r="AL127" s="17">
        <v>0.53254230279898229</v>
      </c>
      <c r="AM127" s="17" t="s">
        <v>59</v>
      </c>
      <c r="AN127" s="17" t="s">
        <v>59</v>
      </c>
      <c r="AO127" s="44" t="s">
        <v>61</v>
      </c>
    </row>
    <row r="128" spans="1:41" ht="12" customHeight="1" x14ac:dyDescent="0.35">
      <c r="A128" s="29" t="s">
        <v>68</v>
      </c>
      <c r="B128" s="30" t="s">
        <v>111</v>
      </c>
      <c r="C128" s="29">
        <v>78</v>
      </c>
      <c r="D128" s="29" t="s">
        <v>112</v>
      </c>
      <c r="E128" s="31" t="s">
        <v>121</v>
      </c>
      <c r="F128" s="29">
        <v>4586</v>
      </c>
      <c r="G128" s="29" t="s">
        <v>59</v>
      </c>
      <c r="H128" s="32">
        <v>46105</v>
      </c>
      <c r="I128" s="33">
        <v>46105</v>
      </c>
      <c r="J128" s="34" t="s">
        <v>99</v>
      </c>
      <c r="K128" s="35">
        <v>0.70833333333333337</v>
      </c>
      <c r="L128" s="35">
        <v>0.71250000000000002</v>
      </c>
      <c r="M128" s="36">
        <v>0.58333333333333337</v>
      </c>
      <c r="N128" s="35">
        <v>0.58750000000000002</v>
      </c>
      <c r="O128" s="37">
        <f>IF(N128&gt;M128,N128-M128,(N128+1)-M128)</f>
        <v>4.1666666666666519E-3</v>
      </c>
      <c r="P128" s="29" t="s">
        <v>122</v>
      </c>
      <c r="Q128" s="29" t="s">
        <v>125</v>
      </c>
      <c r="R128" s="29" t="s">
        <v>126</v>
      </c>
      <c r="S128" s="38" t="s">
        <v>49</v>
      </c>
      <c r="T128" s="39" t="s">
        <v>73</v>
      </c>
      <c r="U128" s="39" t="s">
        <v>59</v>
      </c>
      <c r="V128" s="38" t="s">
        <v>107</v>
      </c>
      <c r="W128" s="40" t="s">
        <v>59</v>
      </c>
      <c r="X128" s="13" t="s">
        <v>59</v>
      </c>
      <c r="Y128" s="13" t="s">
        <v>59</v>
      </c>
      <c r="Z128" s="13" t="s">
        <v>59</v>
      </c>
      <c r="AA128" s="13" t="s">
        <v>59</v>
      </c>
      <c r="AB128" s="41" t="s">
        <v>59</v>
      </c>
      <c r="AC128" s="16" t="s">
        <v>59</v>
      </c>
      <c r="AD128" s="42" t="s">
        <v>59</v>
      </c>
      <c r="AE128" s="42">
        <v>0.4</v>
      </c>
      <c r="AF128" s="42">
        <v>0</v>
      </c>
      <c r="AG128" s="43" t="s">
        <v>59</v>
      </c>
      <c r="AH128" s="43" t="s">
        <v>59</v>
      </c>
      <c r="AI128" s="43" t="s">
        <v>59</v>
      </c>
      <c r="AJ128" s="17" t="s">
        <v>59</v>
      </c>
      <c r="AK128" s="17" t="s">
        <v>59</v>
      </c>
      <c r="AL128" s="17">
        <v>0.53254230279898229</v>
      </c>
      <c r="AM128" s="17" t="s">
        <v>59</v>
      </c>
      <c r="AN128" s="17" t="s">
        <v>59</v>
      </c>
      <c r="AO128" s="44" t="s">
        <v>61</v>
      </c>
    </row>
    <row r="129" spans="1:41" ht="12" customHeight="1" x14ac:dyDescent="0.35">
      <c r="A129" s="29" t="s">
        <v>68</v>
      </c>
      <c r="B129" s="30" t="s">
        <v>111</v>
      </c>
      <c r="C129" s="29">
        <v>78</v>
      </c>
      <c r="D129" s="29" t="s">
        <v>112</v>
      </c>
      <c r="E129" s="31" t="s">
        <v>121</v>
      </c>
      <c r="F129" s="29">
        <v>4586</v>
      </c>
      <c r="G129" s="29" t="s">
        <v>59</v>
      </c>
      <c r="H129" s="32">
        <v>46105</v>
      </c>
      <c r="I129" s="33">
        <v>46105</v>
      </c>
      <c r="J129" s="34" t="s">
        <v>99</v>
      </c>
      <c r="K129" s="35">
        <v>0.71597222222222223</v>
      </c>
      <c r="L129" s="35">
        <v>0.72013888888888888</v>
      </c>
      <c r="M129" s="36">
        <v>0.59097222222222223</v>
      </c>
      <c r="N129" s="35">
        <v>0.59513888888888888</v>
      </c>
      <c r="O129" s="37">
        <f>IF(N129&gt;M129,N129-M129,(N129+1)-M129)</f>
        <v>4.1666666666666519E-3</v>
      </c>
      <c r="P129" s="29" t="s">
        <v>122</v>
      </c>
      <c r="Q129" s="29" t="s">
        <v>125</v>
      </c>
      <c r="R129" s="29" t="s">
        <v>126</v>
      </c>
      <c r="S129" s="38" t="s">
        <v>49</v>
      </c>
      <c r="T129" s="39" t="s">
        <v>73</v>
      </c>
      <c r="U129" s="39" t="s">
        <v>59</v>
      </c>
      <c r="V129" s="38" t="s">
        <v>107</v>
      </c>
      <c r="W129" s="40" t="s">
        <v>59</v>
      </c>
      <c r="X129" s="13" t="s">
        <v>59</v>
      </c>
      <c r="Y129" s="13" t="s">
        <v>59</v>
      </c>
      <c r="Z129" s="13" t="s">
        <v>59</v>
      </c>
      <c r="AA129" s="13" t="s">
        <v>59</v>
      </c>
      <c r="AB129" s="41" t="s">
        <v>59</v>
      </c>
      <c r="AC129" s="16" t="s">
        <v>59</v>
      </c>
      <c r="AD129" s="42" t="s">
        <v>59</v>
      </c>
      <c r="AE129" s="42">
        <v>0</v>
      </c>
      <c r="AF129" s="42">
        <v>0</v>
      </c>
      <c r="AG129" s="43" t="s">
        <v>59</v>
      </c>
      <c r="AH129" s="43" t="s">
        <v>59</v>
      </c>
      <c r="AI129" s="43" t="s">
        <v>59</v>
      </c>
      <c r="AJ129" s="17" t="s">
        <v>59</v>
      </c>
      <c r="AK129" s="17" t="s">
        <v>59</v>
      </c>
      <c r="AL129" s="17">
        <v>0.53254230279898229</v>
      </c>
      <c r="AM129" s="17" t="s">
        <v>59</v>
      </c>
      <c r="AN129" s="17" t="s">
        <v>59</v>
      </c>
      <c r="AO129" s="44" t="s">
        <v>61</v>
      </c>
    </row>
    <row r="130" spans="1:41" ht="12" customHeight="1" x14ac:dyDescent="0.35">
      <c r="A130" s="29" t="s">
        <v>68</v>
      </c>
      <c r="B130" s="30" t="s">
        <v>111</v>
      </c>
      <c r="C130" s="29">
        <v>78</v>
      </c>
      <c r="D130" s="29" t="s">
        <v>112</v>
      </c>
      <c r="E130" s="31" t="s">
        <v>121</v>
      </c>
      <c r="F130" s="29">
        <v>4586</v>
      </c>
      <c r="G130" s="29" t="s">
        <v>59</v>
      </c>
      <c r="H130" s="32">
        <v>46105</v>
      </c>
      <c r="I130" s="33">
        <v>46105</v>
      </c>
      <c r="J130" s="34" t="s">
        <v>99</v>
      </c>
      <c r="K130" s="35">
        <v>0.72847222222222219</v>
      </c>
      <c r="L130" s="35">
        <v>0.7368055555555556</v>
      </c>
      <c r="M130" s="36">
        <v>0.60347222222222219</v>
      </c>
      <c r="N130" s="35">
        <v>0.6118055555555556</v>
      </c>
      <c r="O130" s="37">
        <f>IF(N130&gt;M130,N130-M130,(N130+1)-M130)</f>
        <v>8.3333333333334147E-3</v>
      </c>
      <c r="P130" s="29" t="s">
        <v>122</v>
      </c>
      <c r="Q130" s="29" t="s">
        <v>123</v>
      </c>
      <c r="R130" s="29" t="s">
        <v>124</v>
      </c>
      <c r="S130" s="38" t="s">
        <v>49</v>
      </c>
      <c r="T130" s="39" t="s">
        <v>73</v>
      </c>
      <c r="U130" s="39" t="s">
        <v>59</v>
      </c>
      <c r="V130" s="38" t="s">
        <v>107</v>
      </c>
      <c r="W130" s="40" t="s">
        <v>59</v>
      </c>
      <c r="X130" s="13" t="s">
        <v>59</v>
      </c>
      <c r="Y130" s="13" t="s">
        <v>59</v>
      </c>
      <c r="Z130" s="13" t="s">
        <v>59</v>
      </c>
      <c r="AA130" s="13" t="s">
        <v>59</v>
      </c>
      <c r="AB130" s="41" t="s">
        <v>59</v>
      </c>
      <c r="AC130" s="16" t="s">
        <v>59</v>
      </c>
      <c r="AD130" s="42" t="s">
        <v>59</v>
      </c>
      <c r="AE130" s="42">
        <v>0</v>
      </c>
      <c r="AF130" s="42">
        <v>0</v>
      </c>
      <c r="AG130" s="43" t="s">
        <v>59</v>
      </c>
      <c r="AH130" s="43" t="s">
        <v>59</v>
      </c>
      <c r="AI130" s="43" t="s">
        <v>59</v>
      </c>
      <c r="AJ130" s="17" t="s">
        <v>59</v>
      </c>
      <c r="AK130" s="17" t="s">
        <v>59</v>
      </c>
      <c r="AL130" s="17">
        <v>0.53254230279898229</v>
      </c>
      <c r="AM130" s="17" t="s">
        <v>59</v>
      </c>
      <c r="AN130" s="17" t="s">
        <v>59</v>
      </c>
      <c r="AO130" s="44" t="s">
        <v>61</v>
      </c>
    </row>
    <row r="131" spans="1:41" ht="12" customHeight="1" x14ac:dyDescent="0.35">
      <c r="A131" s="29" t="s">
        <v>68</v>
      </c>
      <c r="B131" s="30" t="s">
        <v>111</v>
      </c>
      <c r="C131" s="29">
        <v>78</v>
      </c>
      <c r="D131" s="29" t="s">
        <v>112</v>
      </c>
      <c r="E131" s="31" t="s">
        <v>121</v>
      </c>
      <c r="F131" s="29">
        <v>4586</v>
      </c>
      <c r="G131" s="29" t="s">
        <v>59</v>
      </c>
      <c r="H131" s="32">
        <v>46105</v>
      </c>
      <c r="I131" s="33">
        <v>46105</v>
      </c>
      <c r="J131" s="34" t="s">
        <v>99</v>
      </c>
      <c r="K131" s="35">
        <v>0.74097222222222225</v>
      </c>
      <c r="L131" s="35">
        <v>0.75763888888888886</v>
      </c>
      <c r="M131" s="36">
        <v>0.61597222222222225</v>
      </c>
      <c r="N131" s="35">
        <v>0.63263888888888886</v>
      </c>
      <c r="O131" s="37">
        <f>IF(N131&gt;M131,N131-M131,(N131+1)-M131)</f>
        <v>1.6666666666666607E-2</v>
      </c>
      <c r="P131" s="29" t="s">
        <v>122</v>
      </c>
      <c r="Q131" s="29" t="s">
        <v>125</v>
      </c>
      <c r="R131" s="29" t="s">
        <v>126</v>
      </c>
      <c r="S131" s="38" t="s">
        <v>49</v>
      </c>
      <c r="T131" s="39" t="s">
        <v>73</v>
      </c>
      <c r="U131" s="39" t="s">
        <v>59</v>
      </c>
      <c r="V131" s="38" t="s">
        <v>107</v>
      </c>
      <c r="W131" s="40" t="s">
        <v>59</v>
      </c>
      <c r="X131" s="13" t="s">
        <v>59</v>
      </c>
      <c r="Y131" s="13" t="s">
        <v>59</v>
      </c>
      <c r="Z131" s="13" t="s">
        <v>59</v>
      </c>
      <c r="AA131" s="13" t="s">
        <v>59</v>
      </c>
      <c r="AB131" s="41" t="s">
        <v>59</v>
      </c>
      <c r="AC131" s="16" t="s">
        <v>59</v>
      </c>
      <c r="AD131" s="42" t="s">
        <v>59</v>
      </c>
      <c r="AE131" s="42">
        <v>0.43</v>
      </c>
      <c r="AF131" s="42">
        <v>0</v>
      </c>
      <c r="AG131" s="43" t="s">
        <v>59</v>
      </c>
      <c r="AH131" s="43" t="s">
        <v>59</v>
      </c>
      <c r="AI131" s="43" t="s">
        <v>59</v>
      </c>
      <c r="AJ131" s="17" t="s">
        <v>59</v>
      </c>
      <c r="AK131" s="17" t="s">
        <v>59</v>
      </c>
      <c r="AL131" s="17">
        <v>0.53254230279898229</v>
      </c>
      <c r="AM131" s="17" t="s">
        <v>59</v>
      </c>
      <c r="AN131" s="17" t="s">
        <v>59</v>
      </c>
      <c r="AO131" s="44" t="s">
        <v>61</v>
      </c>
    </row>
    <row r="132" spans="1:41" ht="12" customHeight="1" x14ac:dyDescent="0.35">
      <c r="A132" s="29" t="s">
        <v>68</v>
      </c>
      <c r="B132" s="30" t="s">
        <v>111</v>
      </c>
      <c r="C132" s="29">
        <v>78</v>
      </c>
      <c r="D132" s="29" t="s">
        <v>112</v>
      </c>
      <c r="E132" s="31" t="s">
        <v>121</v>
      </c>
      <c r="F132" s="29">
        <v>4586</v>
      </c>
      <c r="G132" s="29" t="s">
        <v>59</v>
      </c>
      <c r="H132" s="32">
        <v>46105</v>
      </c>
      <c r="I132" s="33">
        <v>46105</v>
      </c>
      <c r="J132" s="34" t="s">
        <v>99</v>
      </c>
      <c r="K132" s="35">
        <v>0.77013888888888893</v>
      </c>
      <c r="L132" s="35">
        <v>0.8</v>
      </c>
      <c r="M132" s="36">
        <v>0.64513888888888893</v>
      </c>
      <c r="N132" s="35">
        <v>0.67500000000000004</v>
      </c>
      <c r="O132" s="37">
        <f>IF(N132&gt;M132,N132-M132,(N132+1)-M132)</f>
        <v>2.9861111111111116E-2</v>
      </c>
      <c r="P132" s="29" t="s">
        <v>122</v>
      </c>
      <c r="Q132" s="29" t="s">
        <v>123</v>
      </c>
      <c r="R132" s="29" t="s">
        <v>124</v>
      </c>
      <c r="S132" s="38" t="s">
        <v>49</v>
      </c>
      <c r="T132" s="39" t="s">
        <v>73</v>
      </c>
      <c r="U132" s="39" t="s">
        <v>59</v>
      </c>
      <c r="V132" s="38" t="s">
        <v>107</v>
      </c>
      <c r="W132" s="40" t="s">
        <v>59</v>
      </c>
      <c r="X132" s="13" t="s">
        <v>59</v>
      </c>
      <c r="Y132" s="13" t="s">
        <v>59</v>
      </c>
      <c r="Z132" s="13" t="s">
        <v>59</v>
      </c>
      <c r="AA132" s="13" t="s">
        <v>59</v>
      </c>
      <c r="AB132" s="41" t="s">
        <v>59</v>
      </c>
      <c r="AC132" s="16" t="s">
        <v>59</v>
      </c>
      <c r="AD132" s="42" t="s">
        <v>59</v>
      </c>
      <c r="AE132" s="42">
        <v>0</v>
      </c>
      <c r="AF132" s="42">
        <v>0</v>
      </c>
      <c r="AG132" s="43" t="s">
        <v>59</v>
      </c>
      <c r="AH132" s="43" t="s">
        <v>59</v>
      </c>
      <c r="AI132" s="43" t="s">
        <v>59</v>
      </c>
      <c r="AJ132" s="17" t="s">
        <v>59</v>
      </c>
      <c r="AK132" s="17" t="s">
        <v>59</v>
      </c>
      <c r="AL132" s="17">
        <v>0.53254230279898229</v>
      </c>
      <c r="AM132" s="17" t="s">
        <v>59</v>
      </c>
      <c r="AN132" s="17" t="s">
        <v>59</v>
      </c>
      <c r="AO132" s="44" t="s">
        <v>61</v>
      </c>
    </row>
    <row r="133" spans="1:41" ht="12" customHeight="1" x14ac:dyDescent="0.35">
      <c r="A133" s="29" t="s">
        <v>65</v>
      </c>
      <c r="B133" s="30" t="s">
        <v>60</v>
      </c>
      <c r="C133" s="29">
        <v>39</v>
      </c>
      <c r="D133" s="29" t="s">
        <v>66</v>
      </c>
      <c r="E133" s="31" t="s">
        <v>370</v>
      </c>
      <c r="F133" s="29">
        <v>33341</v>
      </c>
      <c r="G133" s="29" t="s">
        <v>59</v>
      </c>
      <c r="H133" s="32">
        <v>46106</v>
      </c>
      <c r="I133" s="33">
        <v>46106</v>
      </c>
      <c r="J133" s="34" t="s">
        <v>110</v>
      </c>
      <c r="K133" s="35">
        <v>0.33978009259259262</v>
      </c>
      <c r="L133" s="35">
        <v>0.45776620370370369</v>
      </c>
      <c r="M133" s="36">
        <v>0.42311342592592593</v>
      </c>
      <c r="N133" s="35">
        <v>0.54109953703703706</v>
      </c>
      <c r="O133" s="37">
        <f>IF(N133&gt;M133,N133-M133,(N133+1)-M133)</f>
        <v>0.11798611111111112</v>
      </c>
      <c r="P133" s="29" t="s">
        <v>225</v>
      </c>
      <c r="Q133" s="29" t="s">
        <v>59</v>
      </c>
      <c r="R133" s="29" t="s">
        <v>225</v>
      </c>
      <c r="S133" s="38" t="s">
        <v>48</v>
      </c>
      <c r="T133" s="39" t="s">
        <v>73</v>
      </c>
      <c r="U133" s="39" t="s">
        <v>59</v>
      </c>
      <c r="V133" s="38" t="s">
        <v>107</v>
      </c>
      <c r="W133" s="40" t="s">
        <v>59</v>
      </c>
      <c r="X133" s="13" t="s">
        <v>59</v>
      </c>
      <c r="Y133" s="13" t="s">
        <v>59</v>
      </c>
      <c r="Z133" s="13" t="s">
        <v>59</v>
      </c>
      <c r="AA133" s="13" t="s">
        <v>59</v>
      </c>
      <c r="AB133" s="41" t="s">
        <v>59</v>
      </c>
      <c r="AC133" s="16" t="s">
        <v>59</v>
      </c>
      <c r="AD133" s="42" t="s">
        <v>59</v>
      </c>
      <c r="AE133" s="42">
        <v>0.8</v>
      </c>
      <c r="AF133" s="42">
        <v>0.01</v>
      </c>
      <c r="AG133" s="43" t="s">
        <v>59</v>
      </c>
      <c r="AH133" s="43" t="s">
        <v>59</v>
      </c>
      <c r="AI133" s="43" t="s">
        <v>59</v>
      </c>
      <c r="AJ133" s="17" t="s">
        <v>59</v>
      </c>
      <c r="AK133" s="17" t="s">
        <v>59</v>
      </c>
      <c r="AL133" s="17">
        <v>0.53333333333333333</v>
      </c>
      <c r="AM133" s="17" t="s">
        <v>59</v>
      </c>
      <c r="AN133" s="17" t="s">
        <v>59</v>
      </c>
      <c r="AO133" s="44" t="s">
        <v>61</v>
      </c>
    </row>
    <row r="134" spans="1:41" ht="12" customHeight="1" x14ac:dyDescent="0.35">
      <c r="A134" s="29" t="s">
        <v>68</v>
      </c>
      <c r="B134" s="30" t="s">
        <v>111</v>
      </c>
      <c r="C134" s="29">
        <v>78</v>
      </c>
      <c r="D134" s="29" t="s">
        <v>112</v>
      </c>
      <c r="E134" s="31" t="s">
        <v>113</v>
      </c>
      <c r="F134" s="29">
        <v>2874</v>
      </c>
      <c r="G134" s="29" t="s">
        <v>59</v>
      </c>
      <c r="H134" s="32">
        <v>46101</v>
      </c>
      <c r="I134" s="33">
        <v>46101</v>
      </c>
      <c r="J134" s="34" t="s">
        <v>79</v>
      </c>
      <c r="K134" s="35">
        <v>0.51597222222222228</v>
      </c>
      <c r="L134" s="35">
        <v>0.54097222222222219</v>
      </c>
      <c r="M134" s="36">
        <v>0.39097222222222222</v>
      </c>
      <c r="N134" s="35">
        <v>0.41597222222222224</v>
      </c>
      <c r="O134" s="37">
        <f>IF(N134&gt;M134,N134-M134,(N134+1)-M134)</f>
        <v>2.5000000000000022E-2</v>
      </c>
      <c r="P134" s="29" t="s">
        <v>114</v>
      </c>
      <c r="Q134" s="29" t="s">
        <v>115</v>
      </c>
      <c r="R134" s="29" t="s">
        <v>116</v>
      </c>
      <c r="S134" s="38" t="s">
        <v>49</v>
      </c>
      <c r="T134" s="39" t="s">
        <v>73</v>
      </c>
      <c r="U134" s="39" t="s">
        <v>59</v>
      </c>
      <c r="V134" s="38" t="s">
        <v>100</v>
      </c>
      <c r="W134" s="40" t="s">
        <v>59</v>
      </c>
      <c r="X134" s="13" t="s">
        <v>59</v>
      </c>
      <c r="Y134" s="13" t="s">
        <v>59</v>
      </c>
      <c r="Z134" s="13" t="s">
        <v>59</v>
      </c>
      <c r="AA134" s="13" t="s">
        <v>59</v>
      </c>
      <c r="AB134" s="41" t="s">
        <v>59</v>
      </c>
      <c r="AC134" s="16" t="s">
        <v>59</v>
      </c>
      <c r="AD134" s="42" t="s">
        <v>59</v>
      </c>
      <c r="AE134" s="42">
        <v>0</v>
      </c>
      <c r="AF134" s="42">
        <v>0</v>
      </c>
      <c r="AG134" s="43" t="s">
        <v>59</v>
      </c>
      <c r="AH134" s="43" t="s">
        <v>59</v>
      </c>
      <c r="AI134" s="43" t="s">
        <v>59</v>
      </c>
      <c r="AJ134" s="17" t="s">
        <v>59</v>
      </c>
      <c r="AK134" s="17" t="s">
        <v>59</v>
      </c>
      <c r="AL134" s="17">
        <v>0.62652035623409674</v>
      </c>
      <c r="AM134" s="17" t="s">
        <v>59</v>
      </c>
      <c r="AN134" s="17" t="s">
        <v>59</v>
      </c>
      <c r="AO134" s="44" t="s">
        <v>61</v>
      </c>
    </row>
    <row r="135" spans="1:41" ht="12" customHeight="1" x14ac:dyDescent="0.35">
      <c r="A135" s="29" t="s">
        <v>68</v>
      </c>
      <c r="B135" s="30" t="s">
        <v>111</v>
      </c>
      <c r="C135" s="29">
        <v>78</v>
      </c>
      <c r="D135" s="29" t="s">
        <v>112</v>
      </c>
      <c r="E135" s="31" t="s">
        <v>121</v>
      </c>
      <c r="F135" s="29">
        <v>4586</v>
      </c>
      <c r="G135" s="29" t="s">
        <v>59</v>
      </c>
      <c r="H135" s="32">
        <v>46103</v>
      </c>
      <c r="I135" s="33">
        <v>46103</v>
      </c>
      <c r="J135" s="34" t="s">
        <v>74</v>
      </c>
      <c r="K135" s="35">
        <v>0.86944444444444446</v>
      </c>
      <c r="L135" s="35">
        <v>0.88541666666666663</v>
      </c>
      <c r="M135" s="36">
        <v>0.74444444444444446</v>
      </c>
      <c r="N135" s="35">
        <v>0.76041666666666663</v>
      </c>
      <c r="O135" s="37">
        <f>IF(N135&gt;M135,N135-M135,(N135+1)-M135)</f>
        <v>1.5972222222222165E-2</v>
      </c>
      <c r="P135" s="29" t="s">
        <v>122</v>
      </c>
      <c r="Q135" s="29" t="s">
        <v>125</v>
      </c>
      <c r="R135" s="29" t="s">
        <v>126</v>
      </c>
      <c r="S135" s="38" t="s">
        <v>49</v>
      </c>
      <c r="T135" s="39" t="s">
        <v>73</v>
      </c>
      <c r="U135" s="39" t="s">
        <v>59</v>
      </c>
      <c r="V135" s="38" t="s">
        <v>107</v>
      </c>
      <c r="W135" s="40" t="s">
        <v>59</v>
      </c>
      <c r="X135" s="13" t="s">
        <v>59</v>
      </c>
      <c r="Y135" s="13" t="s">
        <v>59</v>
      </c>
      <c r="Z135" s="13" t="s">
        <v>59</v>
      </c>
      <c r="AA135" s="13" t="s">
        <v>59</v>
      </c>
      <c r="AB135" s="41" t="s">
        <v>59</v>
      </c>
      <c r="AC135" s="16" t="s">
        <v>59</v>
      </c>
      <c r="AD135" s="42" t="s">
        <v>59</v>
      </c>
      <c r="AE135" s="42">
        <v>3.19</v>
      </c>
      <c r="AF135" s="42">
        <v>0.02</v>
      </c>
      <c r="AG135" s="43" t="s">
        <v>59</v>
      </c>
      <c r="AH135" s="43" t="s">
        <v>59</v>
      </c>
      <c r="AI135" s="43" t="s">
        <v>59</v>
      </c>
      <c r="AJ135" s="17" t="s">
        <v>59</v>
      </c>
      <c r="AK135" s="17" t="s">
        <v>59</v>
      </c>
      <c r="AL135" s="17">
        <v>0.63905076335877875</v>
      </c>
      <c r="AM135" s="17" t="s">
        <v>59</v>
      </c>
      <c r="AN135" s="17" t="s">
        <v>59</v>
      </c>
      <c r="AO135" s="44" t="s">
        <v>61</v>
      </c>
    </row>
    <row r="136" spans="1:41" ht="12" customHeight="1" x14ac:dyDescent="0.35">
      <c r="A136" s="29" t="s">
        <v>96</v>
      </c>
      <c r="B136" s="30" t="s">
        <v>97</v>
      </c>
      <c r="C136" s="29">
        <v>1</v>
      </c>
      <c r="D136" s="29" t="s">
        <v>98</v>
      </c>
      <c r="E136" s="31" t="s">
        <v>366</v>
      </c>
      <c r="F136" s="29">
        <v>2661</v>
      </c>
      <c r="G136" s="29" t="s">
        <v>59</v>
      </c>
      <c r="H136" s="32">
        <v>46104</v>
      </c>
      <c r="I136" s="33">
        <v>46104</v>
      </c>
      <c r="J136" s="34" t="s">
        <v>67</v>
      </c>
      <c r="K136" s="35">
        <v>0.53903935185185181</v>
      </c>
      <c r="L136" s="35">
        <v>0.55707175925925922</v>
      </c>
      <c r="M136" s="36">
        <v>0.58070601851851855</v>
      </c>
      <c r="N136" s="35">
        <v>0.59873842592592597</v>
      </c>
      <c r="O136" s="37">
        <f>IF(N136&gt;M136,N136-M136,(N136+1)-M136)</f>
        <v>1.8032407407407414E-2</v>
      </c>
      <c r="P136" s="29" t="s">
        <v>108</v>
      </c>
      <c r="Q136" s="29" t="s">
        <v>59</v>
      </c>
      <c r="R136" s="29" t="s">
        <v>108</v>
      </c>
      <c r="S136" s="38" t="s">
        <v>49</v>
      </c>
      <c r="T136" s="39" t="s">
        <v>73</v>
      </c>
      <c r="U136" s="39" t="s">
        <v>59</v>
      </c>
      <c r="V136" s="38" t="s">
        <v>107</v>
      </c>
      <c r="W136" s="40" t="s">
        <v>59</v>
      </c>
      <c r="X136" s="13" t="s">
        <v>59</v>
      </c>
      <c r="Y136" s="13" t="s">
        <v>59</v>
      </c>
      <c r="Z136" s="13" t="s">
        <v>59</v>
      </c>
      <c r="AA136" s="13" t="s">
        <v>59</v>
      </c>
      <c r="AB136" s="41" t="s">
        <v>59</v>
      </c>
      <c r="AC136" s="16" t="s">
        <v>59</v>
      </c>
      <c r="AD136" s="42" t="s">
        <v>59</v>
      </c>
      <c r="AE136" s="42">
        <v>0.9</v>
      </c>
      <c r="AF136" s="42">
        <v>0.1</v>
      </c>
      <c r="AG136" s="43" t="s">
        <v>59</v>
      </c>
      <c r="AH136" s="43" t="s">
        <v>59</v>
      </c>
      <c r="AI136" s="43" t="s">
        <v>59</v>
      </c>
      <c r="AJ136" s="17" t="s">
        <v>59</v>
      </c>
      <c r="AK136" s="17" t="s">
        <v>59</v>
      </c>
      <c r="AL136" s="17">
        <v>0.64285714285714279</v>
      </c>
      <c r="AM136" s="17" t="s">
        <v>59</v>
      </c>
      <c r="AN136" s="17" t="s">
        <v>59</v>
      </c>
      <c r="AO136" s="44" t="s">
        <v>61</v>
      </c>
    </row>
    <row r="137" spans="1:41" ht="12" customHeight="1" x14ac:dyDescent="0.35">
      <c r="A137" s="29" t="s">
        <v>96</v>
      </c>
      <c r="B137" s="30" t="s">
        <v>97</v>
      </c>
      <c r="C137" s="29">
        <v>1</v>
      </c>
      <c r="D137" s="29" t="s">
        <v>98</v>
      </c>
      <c r="E137" s="31" t="s">
        <v>366</v>
      </c>
      <c r="F137" s="29">
        <v>2661</v>
      </c>
      <c r="G137" s="29" t="s">
        <v>59</v>
      </c>
      <c r="H137" s="32">
        <v>46105</v>
      </c>
      <c r="I137" s="33">
        <v>46105</v>
      </c>
      <c r="J137" s="34" t="s">
        <v>99</v>
      </c>
      <c r="K137" s="35">
        <v>0.49951388888888887</v>
      </c>
      <c r="L137" s="35">
        <v>0.54228009259259258</v>
      </c>
      <c r="M137" s="36">
        <v>0.54118055555555555</v>
      </c>
      <c r="N137" s="35">
        <v>0.58394675925925921</v>
      </c>
      <c r="O137" s="37">
        <f>IF(N137&gt;M137,N137-M137,(N137+1)-M137)</f>
        <v>4.2766203703703654E-2</v>
      </c>
      <c r="P137" s="29" t="s">
        <v>109</v>
      </c>
      <c r="Q137" s="29" t="s">
        <v>59</v>
      </c>
      <c r="R137" s="29" t="s">
        <v>109</v>
      </c>
      <c r="S137" s="38" t="s">
        <v>48</v>
      </c>
      <c r="T137" s="39" t="s">
        <v>73</v>
      </c>
      <c r="U137" s="39" t="s">
        <v>59</v>
      </c>
      <c r="V137" s="38" t="s">
        <v>107</v>
      </c>
      <c r="W137" s="40" t="s">
        <v>59</v>
      </c>
      <c r="X137" s="13" t="s">
        <v>59</v>
      </c>
      <c r="Y137" s="13" t="s">
        <v>59</v>
      </c>
      <c r="Z137" s="13" t="s">
        <v>59</v>
      </c>
      <c r="AA137" s="13" t="s">
        <v>59</v>
      </c>
      <c r="AB137" s="41" t="s">
        <v>59</v>
      </c>
      <c r="AC137" s="16" t="s">
        <v>59</v>
      </c>
      <c r="AD137" s="42" t="s">
        <v>59</v>
      </c>
      <c r="AE137" s="42">
        <v>0.8</v>
      </c>
      <c r="AF137" s="42">
        <v>0.1</v>
      </c>
      <c r="AG137" s="43" t="s">
        <v>59</v>
      </c>
      <c r="AH137" s="43" t="s">
        <v>59</v>
      </c>
      <c r="AI137" s="43" t="s">
        <v>59</v>
      </c>
      <c r="AJ137" s="17" t="s">
        <v>59</v>
      </c>
      <c r="AK137" s="17" t="s">
        <v>59</v>
      </c>
      <c r="AL137" s="17">
        <v>0.64285714285714279</v>
      </c>
      <c r="AM137" s="17" t="s">
        <v>59</v>
      </c>
      <c r="AN137" s="17" t="s">
        <v>59</v>
      </c>
      <c r="AO137" s="44" t="s">
        <v>61</v>
      </c>
    </row>
    <row r="138" spans="1:41" ht="12" customHeight="1" x14ac:dyDescent="0.35">
      <c r="A138" s="29" t="s">
        <v>96</v>
      </c>
      <c r="B138" s="30" t="s">
        <v>97</v>
      </c>
      <c r="C138" s="29">
        <v>1</v>
      </c>
      <c r="D138" s="29" t="s">
        <v>98</v>
      </c>
      <c r="E138" s="31" t="s">
        <v>366</v>
      </c>
      <c r="F138" s="29">
        <v>2661</v>
      </c>
      <c r="G138" s="29" t="s">
        <v>59</v>
      </c>
      <c r="H138" s="32">
        <v>46106</v>
      </c>
      <c r="I138" s="33">
        <v>46106</v>
      </c>
      <c r="J138" s="34" t="s">
        <v>110</v>
      </c>
      <c r="K138" s="35">
        <v>0.15636574074074075</v>
      </c>
      <c r="L138" s="35">
        <v>0.19912037037037036</v>
      </c>
      <c r="M138" s="36">
        <v>0.19803240740740741</v>
      </c>
      <c r="N138" s="35">
        <v>0.24078703703703705</v>
      </c>
      <c r="O138" s="37">
        <f>IF(N138&gt;M138,N138-M138,(N138+1)-M138)</f>
        <v>4.2754629629629642E-2</v>
      </c>
      <c r="P138" s="29" t="s">
        <v>109</v>
      </c>
      <c r="Q138" s="29" t="s">
        <v>59</v>
      </c>
      <c r="R138" s="29" t="s">
        <v>109</v>
      </c>
      <c r="S138" s="38" t="s">
        <v>48</v>
      </c>
      <c r="T138" s="39" t="s">
        <v>73</v>
      </c>
      <c r="U138" s="39" t="s">
        <v>59</v>
      </c>
      <c r="V138" s="38" t="s">
        <v>107</v>
      </c>
      <c r="W138" s="40" t="s">
        <v>59</v>
      </c>
      <c r="X138" s="13" t="s">
        <v>59</v>
      </c>
      <c r="Y138" s="13" t="s">
        <v>59</v>
      </c>
      <c r="Z138" s="13" t="s">
        <v>59</v>
      </c>
      <c r="AA138" s="13" t="s">
        <v>59</v>
      </c>
      <c r="AB138" s="41" t="s">
        <v>59</v>
      </c>
      <c r="AC138" s="16" t="s">
        <v>59</v>
      </c>
      <c r="AD138" s="42" t="s">
        <v>59</v>
      </c>
      <c r="AE138" s="42">
        <v>1</v>
      </c>
      <c r="AF138" s="42">
        <v>0.4</v>
      </c>
      <c r="AG138" s="43" t="s">
        <v>59</v>
      </c>
      <c r="AH138" s="43" t="s">
        <v>59</v>
      </c>
      <c r="AI138" s="43" t="s">
        <v>59</v>
      </c>
      <c r="AJ138" s="17" t="s">
        <v>59</v>
      </c>
      <c r="AK138" s="17" t="s">
        <v>59</v>
      </c>
      <c r="AL138" s="17">
        <v>0.64285714285714279</v>
      </c>
      <c r="AM138" s="17" t="s">
        <v>59</v>
      </c>
      <c r="AN138" s="17" t="s">
        <v>59</v>
      </c>
      <c r="AO138" s="44" t="s">
        <v>61</v>
      </c>
    </row>
    <row r="139" spans="1:41" ht="12" customHeight="1" x14ac:dyDescent="0.35">
      <c r="A139" s="29" t="s">
        <v>96</v>
      </c>
      <c r="B139" s="30" t="s">
        <v>127</v>
      </c>
      <c r="C139" s="29">
        <v>5</v>
      </c>
      <c r="D139" s="29" t="s">
        <v>128</v>
      </c>
      <c r="E139" s="31" t="s">
        <v>129</v>
      </c>
      <c r="F139" s="29">
        <v>21831</v>
      </c>
      <c r="G139" s="29" t="s">
        <v>59</v>
      </c>
      <c r="H139" s="32">
        <v>46104</v>
      </c>
      <c r="I139" s="33">
        <v>46104</v>
      </c>
      <c r="J139" s="34" t="s">
        <v>67</v>
      </c>
      <c r="K139" s="35">
        <v>0.86193287037037036</v>
      </c>
      <c r="L139" s="35">
        <v>0</v>
      </c>
      <c r="M139" s="36">
        <v>0.94526620370370373</v>
      </c>
      <c r="N139" s="35">
        <v>8.3333333333333329E-2</v>
      </c>
      <c r="O139" s="37">
        <f>IF(N139&gt;M139,N139-M139,(N139+1)-M139)</f>
        <v>0.13806712962962953</v>
      </c>
      <c r="P139" s="29" t="s">
        <v>131</v>
      </c>
      <c r="Q139" s="29" t="s">
        <v>59</v>
      </c>
      <c r="R139" s="29" t="s">
        <v>131</v>
      </c>
      <c r="S139" s="38" t="s">
        <v>48</v>
      </c>
      <c r="T139" s="39" t="s">
        <v>73</v>
      </c>
      <c r="U139" s="39" t="s">
        <v>59</v>
      </c>
      <c r="V139" s="38" t="s">
        <v>107</v>
      </c>
      <c r="W139" s="40" t="s">
        <v>59</v>
      </c>
      <c r="X139" s="13" t="s">
        <v>59</v>
      </c>
      <c r="Y139" s="13" t="s">
        <v>59</v>
      </c>
      <c r="Z139" s="13" t="s">
        <v>59</v>
      </c>
      <c r="AA139" s="13" t="s">
        <v>59</v>
      </c>
      <c r="AB139" s="41" t="s">
        <v>59</v>
      </c>
      <c r="AC139" s="16" t="s">
        <v>59</v>
      </c>
      <c r="AD139" s="42" t="s">
        <v>59</v>
      </c>
      <c r="AE139" s="42">
        <v>4</v>
      </c>
      <c r="AF139" s="42">
        <v>0.4</v>
      </c>
      <c r="AG139" s="43" t="s">
        <v>59</v>
      </c>
      <c r="AH139" s="43" t="s">
        <v>59</v>
      </c>
      <c r="AI139" s="43" t="s">
        <v>59</v>
      </c>
      <c r="AJ139" s="17" t="s">
        <v>59</v>
      </c>
      <c r="AK139" s="17" t="s">
        <v>59</v>
      </c>
      <c r="AL139" s="17">
        <v>0.66666666666666663</v>
      </c>
      <c r="AM139" s="17" t="s">
        <v>59</v>
      </c>
      <c r="AN139" s="17" t="s">
        <v>59</v>
      </c>
      <c r="AO139" s="44" t="s">
        <v>61</v>
      </c>
    </row>
    <row r="140" spans="1:41" ht="12" customHeight="1" x14ac:dyDescent="0.35">
      <c r="A140" s="29" t="s">
        <v>96</v>
      </c>
      <c r="B140" s="30" t="s">
        <v>97</v>
      </c>
      <c r="C140" s="29">
        <v>1</v>
      </c>
      <c r="D140" s="29" t="s">
        <v>98</v>
      </c>
      <c r="E140" s="31" t="s">
        <v>366</v>
      </c>
      <c r="F140" s="29">
        <v>2661</v>
      </c>
      <c r="G140" s="29" t="s">
        <v>59</v>
      </c>
      <c r="H140" s="32">
        <v>46105</v>
      </c>
      <c r="I140" s="33">
        <v>46105</v>
      </c>
      <c r="J140" s="34" t="s">
        <v>99</v>
      </c>
      <c r="K140" s="35">
        <v>1.6354166666666666E-2</v>
      </c>
      <c r="L140" s="35">
        <v>5.9108796296296298E-2</v>
      </c>
      <c r="M140" s="36">
        <v>5.8020833333333334E-2</v>
      </c>
      <c r="N140" s="35">
        <v>0.10077546296296297</v>
      </c>
      <c r="O140" s="37">
        <f>IF(N140&gt;M140,N140-M140,(N140+1)-M140)</f>
        <v>4.2754629629629635E-2</v>
      </c>
      <c r="P140" s="29" t="s">
        <v>109</v>
      </c>
      <c r="Q140" s="29" t="s">
        <v>59</v>
      </c>
      <c r="R140" s="29" t="s">
        <v>109</v>
      </c>
      <c r="S140" s="38" t="s">
        <v>48</v>
      </c>
      <c r="T140" s="39" t="s">
        <v>73</v>
      </c>
      <c r="U140" s="39" t="s">
        <v>59</v>
      </c>
      <c r="V140" s="38" t="s">
        <v>107</v>
      </c>
      <c r="W140" s="40" t="s">
        <v>59</v>
      </c>
      <c r="X140" s="13" t="s">
        <v>59</v>
      </c>
      <c r="Y140" s="13" t="s">
        <v>59</v>
      </c>
      <c r="Z140" s="13" t="s">
        <v>59</v>
      </c>
      <c r="AA140" s="13" t="s">
        <v>59</v>
      </c>
      <c r="AB140" s="41" t="s">
        <v>59</v>
      </c>
      <c r="AC140" s="16" t="s">
        <v>59</v>
      </c>
      <c r="AD140" s="42" t="s">
        <v>59</v>
      </c>
      <c r="AE140" s="42">
        <v>1.2</v>
      </c>
      <c r="AF140" s="42">
        <v>0.3</v>
      </c>
      <c r="AG140" s="43" t="s">
        <v>59</v>
      </c>
      <c r="AH140" s="43" t="s">
        <v>59</v>
      </c>
      <c r="AI140" s="43" t="s">
        <v>59</v>
      </c>
      <c r="AJ140" s="17" t="s">
        <v>59</v>
      </c>
      <c r="AK140" s="17" t="s">
        <v>59</v>
      </c>
      <c r="AL140" s="17">
        <v>0.77142857142857146</v>
      </c>
      <c r="AM140" s="17" t="s">
        <v>59</v>
      </c>
      <c r="AN140" s="17" t="s">
        <v>59</v>
      </c>
      <c r="AO140" s="44" t="s">
        <v>61</v>
      </c>
    </row>
    <row r="141" spans="1:41" ht="12" customHeight="1" x14ac:dyDescent="0.35">
      <c r="A141" s="29" t="s">
        <v>96</v>
      </c>
      <c r="B141" s="30" t="s">
        <v>200</v>
      </c>
      <c r="C141" s="29">
        <v>26</v>
      </c>
      <c r="D141" s="29" t="s">
        <v>201</v>
      </c>
      <c r="E141" s="31" t="s">
        <v>205</v>
      </c>
      <c r="F141" s="29">
        <v>2724</v>
      </c>
      <c r="G141" s="29" t="s">
        <v>59</v>
      </c>
      <c r="H141" s="32">
        <v>46105</v>
      </c>
      <c r="I141" s="33">
        <v>46105</v>
      </c>
      <c r="J141" s="34" t="s">
        <v>99</v>
      </c>
      <c r="K141" s="35">
        <v>0.81125000000000003</v>
      </c>
      <c r="L141" s="35">
        <v>0.90149305555555559</v>
      </c>
      <c r="M141" s="36">
        <v>0.85291666666666666</v>
      </c>
      <c r="N141" s="35">
        <v>0.94315972222222222</v>
      </c>
      <c r="O141" s="37">
        <f>IF(N141&gt;M141,N141-M141,(N141+1)-M141)</f>
        <v>9.0243055555555562E-2</v>
      </c>
      <c r="P141" s="29" t="s">
        <v>206</v>
      </c>
      <c r="Q141" s="29" t="s">
        <v>59</v>
      </c>
      <c r="R141" s="29" t="s">
        <v>206</v>
      </c>
      <c r="S141" s="38" t="s">
        <v>48</v>
      </c>
      <c r="T141" s="39" t="s">
        <v>73</v>
      </c>
      <c r="U141" s="39" t="s">
        <v>59</v>
      </c>
      <c r="V141" s="38" t="s">
        <v>107</v>
      </c>
      <c r="W141" s="40" t="s">
        <v>59</v>
      </c>
      <c r="X141" s="13" t="s">
        <v>59</v>
      </c>
      <c r="Y141" s="13" t="s">
        <v>59</v>
      </c>
      <c r="Z141" s="13" t="s">
        <v>59</v>
      </c>
      <c r="AA141" s="13" t="s">
        <v>59</v>
      </c>
      <c r="AB141" s="41" t="s">
        <v>59</v>
      </c>
      <c r="AC141" s="16" t="s">
        <v>59</v>
      </c>
      <c r="AD141" s="42" t="s">
        <v>59</v>
      </c>
      <c r="AE141" s="42">
        <v>20.8</v>
      </c>
      <c r="AF141" s="42">
        <v>0.19</v>
      </c>
      <c r="AG141" s="43" t="s">
        <v>59</v>
      </c>
      <c r="AH141" s="43" t="s">
        <v>59</v>
      </c>
      <c r="AI141" s="43" t="s">
        <v>59</v>
      </c>
      <c r="AJ141" s="17" t="s">
        <v>59</v>
      </c>
      <c r="AK141" s="17" t="s">
        <v>59</v>
      </c>
      <c r="AL141" s="17">
        <v>0.77759721712242724</v>
      </c>
      <c r="AM141" s="17" t="s">
        <v>59</v>
      </c>
      <c r="AN141" s="17" t="s">
        <v>59</v>
      </c>
      <c r="AO141" s="44" t="s">
        <v>61</v>
      </c>
    </row>
    <row r="142" spans="1:41" ht="12" customHeight="1" x14ac:dyDescent="0.35">
      <c r="A142" s="29" t="s">
        <v>68</v>
      </c>
      <c r="B142" s="30" t="s">
        <v>111</v>
      </c>
      <c r="C142" s="29">
        <v>78</v>
      </c>
      <c r="D142" s="29" t="s">
        <v>112</v>
      </c>
      <c r="E142" s="31" t="s">
        <v>121</v>
      </c>
      <c r="F142" s="29">
        <v>4586</v>
      </c>
      <c r="G142" s="29" t="s">
        <v>59</v>
      </c>
      <c r="H142" s="32">
        <v>46105</v>
      </c>
      <c r="I142" s="33">
        <v>46105</v>
      </c>
      <c r="J142" s="34" t="s">
        <v>99</v>
      </c>
      <c r="K142" s="35">
        <v>0.82986111111111116</v>
      </c>
      <c r="L142" s="35">
        <v>0.83263888888888893</v>
      </c>
      <c r="M142" s="36">
        <v>0.70486111111111116</v>
      </c>
      <c r="N142" s="35">
        <v>0.70763888888888893</v>
      </c>
      <c r="O142" s="37">
        <f>IF(N142&gt;M142,N142-M142,(N142+1)-M142)</f>
        <v>2.7777777777777679E-3</v>
      </c>
      <c r="P142" s="29" t="s">
        <v>122</v>
      </c>
      <c r="Q142" s="29" t="s">
        <v>125</v>
      </c>
      <c r="R142" s="29" t="s">
        <v>126</v>
      </c>
      <c r="S142" s="38" t="s">
        <v>49</v>
      </c>
      <c r="T142" s="39" t="s">
        <v>73</v>
      </c>
      <c r="U142" s="39" t="s">
        <v>59</v>
      </c>
      <c r="V142" s="38" t="s">
        <v>107</v>
      </c>
      <c r="W142" s="40" t="s">
        <v>59</v>
      </c>
      <c r="X142" s="13" t="s">
        <v>59</v>
      </c>
      <c r="Y142" s="13" t="s">
        <v>59</v>
      </c>
      <c r="Z142" s="13" t="s">
        <v>59</v>
      </c>
      <c r="AA142" s="13" t="s">
        <v>59</v>
      </c>
      <c r="AB142" s="41" t="s">
        <v>59</v>
      </c>
      <c r="AC142" s="16" t="s">
        <v>59</v>
      </c>
      <c r="AD142" s="42" t="s">
        <v>59</v>
      </c>
      <c r="AE142" s="42">
        <v>4.72</v>
      </c>
      <c r="AF142" s="42">
        <v>0.04</v>
      </c>
      <c r="AG142" s="43" t="s">
        <v>59</v>
      </c>
      <c r="AH142" s="43" t="s">
        <v>59</v>
      </c>
      <c r="AI142" s="43" t="s">
        <v>59</v>
      </c>
      <c r="AJ142" s="17" t="s">
        <v>59</v>
      </c>
      <c r="AK142" s="17" t="s">
        <v>59</v>
      </c>
      <c r="AL142" s="17">
        <v>0.79168493518462868</v>
      </c>
      <c r="AM142" s="17" t="s">
        <v>59</v>
      </c>
      <c r="AN142" s="17" t="s">
        <v>59</v>
      </c>
      <c r="AO142" s="44" t="s">
        <v>61</v>
      </c>
    </row>
    <row r="143" spans="1:41" ht="12" customHeight="1" x14ac:dyDescent="0.35">
      <c r="A143" s="29" t="s">
        <v>96</v>
      </c>
      <c r="B143" s="30" t="s">
        <v>238</v>
      </c>
      <c r="C143" s="29">
        <v>6</v>
      </c>
      <c r="D143" s="29" t="s">
        <v>239</v>
      </c>
      <c r="E143" s="31" t="s">
        <v>240</v>
      </c>
      <c r="F143" s="29">
        <v>3164</v>
      </c>
      <c r="G143" s="29" t="s">
        <v>59</v>
      </c>
      <c r="H143" s="32">
        <v>46102</v>
      </c>
      <c r="I143" s="33">
        <v>46102</v>
      </c>
      <c r="J143" s="34" t="s">
        <v>71</v>
      </c>
      <c r="K143" s="35">
        <v>7.9004629629629633E-2</v>
      </c>
      <c r="L143" s="35">
        <v>0.12258101851851852</v>
      </c>
      <c r="M143" s="36">
        <v>0.12067129629629629</v>
      </c>
      <c r="N143" s="35">
        <v>0.16424768518518518</v>
      </c>
      <c r="O143" s="37">
        <f>IF(N143&gt;M143,N143-M143,(N143+1)-M143)</f>
        <v>4.3576388888888887E-2</v>
      </c>
      <c r="P143" s="29" t="s">
        <v>241</v>
      </c>
      <c r="Q143" s="29" t="s">
        <v>246</v>
      </c>
      <c r="R143" s="29" t="s">
        <v>247</v>
      </c>
      <c r="S143" s="38" t="s">
        <v>48</v>
      </c>
      <c r="T143" s="39" t="s">
        <v>73</v>
      </c>
      <c r="U143" s="39" t="s">
        <v>59</v>
      </c>
      <c r="V143" s="38" t="s">
        <v>100</v>
      </c>
      <c r="W143" s="40" t="s">
        <v>59</v>
      </c>
      <c r="X143" s="13" t="s">
        <v>59</v>
      </c>
      <c r="Y143" s="13" t="s">
        <v>59</v>
      </c>
      <c r="Z143" s="13" t="s">
        <v>59</v>
      </c>
      <c r="AA143" s="13" t="s">
        <v>59</v>
      </c>
      <c r="AB143" s="41" t="s">
        <v>59</v>
      </c>
      <c r="AC143" s="16" t="s">
        <v>59</v>
      </c>
      <c r="AD143" s="42" t="s">
        <v>59</v>
      </c>
      <c r="AE143" s="42">
        <v>0.1</v>
      </c>
      <c r="AF143" s="42">
        <v>0.1</v>
      </c>
      <c r="AG143" s="43" t="s">
        <v>59</v>
      </c>
      <c r="AH143" s="43" t="s">
        <v>59</v>
      </c>
      <c r="AI143" s="43" t="s">
        <v>59</v>
      </c>
      <c r="AJ143" s="17" t="s">
        <v>59</v>
      </c>
      <c r="AK143" s="17" t="s">
        <v>59</v>
      </c>
      <c r="AL143" s="17">
        <v>0.80574999999999997</v>
      </c>
      <c r="AM143" s="17" t="s">
        <v>59</v>
      </c>
      <c r="AN143" s="17" t="s">
        <v>59</v>
      </c>
      <c r="AO143" s="44" t="s">
        <v>61</v>
      </c>
    </row>
    <row r="144" spans="1:41" ht="12" customHeight="1" x14ac:dyDescent="0.35">
      <c r="A144" s="29" t="s">
        <v>96</v>
      </c>
      <c r="B144" s="30" t="s">
        <v>238</v>
      </c>
      <c r="C144" s="29">
        <v>6</v>
      </c>
      <c r="D144" s="29" t="s">
        <v>239</v>
      </c>
      <c r="E144" s="31" t="s">
        <v>240</v>
      </c>
      <c r="F144" s="29">
        <v>3164</v>
      </c>
      <c r="G144" s="29" t="s">
        <v>59</v>
      </c>
      <c r="H144" s="32">
        <v>46104</v>
      </c>
      <c r="I144" s="33">
        <v>46104</v>
      </c>
      <c r="J144" s="34" t="s">
        <v>67</v>
      </c>
      <c r="K144" s="35">
        <v>9.0844907407407402E-2</v>
      </c>
      <c r="L144" s="35">
        <v>0.14353009259259258</v>
      </c>
      <c r="M144" s="36">
        <v>0.13251157407407407</v>
      </c>
      <c r="N144" s="35">
        <v>0.18519675925925927</v>
      </c>
      <c r="O144" s="37">
        <f>IF(N144&gt;M144,N144-M144,(N144+1)-M144)</f>
        <v>5.2685185185185196E-2</v>
      </c>
      <c r="P144" s="29" t="s">
        <v>241</v>
      </c>
      <c r="Q144" s="29" t="s">
        <v>246</v>
      </c>
      <c r="R144" s="29" t="s">
        <v>247</v>
      </c>
      <c r="S144" s="38" t="s">
        <v>48</v>
      </c>
      <c r="T144" s="39" t="s">
        <v>73</v>
      </c>
      <c r="U144" s="39" t="s">
        <v>59</v>
      </c>
      <c r="V144" s="38" t="s">
        <v>107</v>
      </c>
      <c r="W144" s="40" t="s">
        <v>59</v>
      </c>
      <c r="X144" s="13" t="s">
        <v>59</v>
      </c>
      <c r="Y144" s="13" t="s">
        <v>59</v>
      </c>
      <c r="Z144" s="13" t="s">
        <v>59</v>
      </c>
      <c r="AA144" s="13" t="s">
        <v>59</v>
      </c>
      <c r="AB144" s="41" t="s">
        <v>59</v>
      </c>
      <c r="AC144" s="16" t="s">
        <v>59</v>
      </c>
      <c r="AD144" s="42" t="s">
        <v>59</v>
      </c>
      <c r="AE144" s="42">
        <v>0.1</v>
      </c>
      <c r="AF144" s="42">
        <v>0.2</v>
      </c>
      <c r="AG144" s="43" t="s">
        <v>59</v>
      </c>
      <c r="AH144" s="43" t="s">
        <v>59</v>
      </c>
      <c r="AI144" s="43" t="s">
        <v>59</v>
      </c>
      <c r="AJ144" s="17" t="s">
        <v>59</v>
      </c>
      <c r="AK144" s="17" t="s">
        <v>59</v>
      </c>
      <c r="AL144" s="17">
        <v>0.80574999999999997</v>
      </c>
      <c r="AM144" s="17" t="s">
        <v>59</v>
      </c>
      <c r="AN144" s="17" t="s">
        <v>59</v>
      </c>
      <c r="AO144" s="44" t="s">
        <v>61</v>
      </c>
    </row>
    <row r="145" spans="1:41" ht="12" customHeight="1" x14ac:dyDescent="0.35">
      <c r="A145" s="29" t="s">
        <v>96</v>
      </c>
      <c r="B145" s="30" t="s">
        <v>138</v>
      </c>
      <c r="C145" s="29">
        <v>11</v>
      </c>
      <c r="D145" s="29" t="s">
        <v>139</v>
      </c>
      <c r="E145" s="31" t="s">
        <v>140</v>
      </c>
      <c r="F145" s="29">
        <v>1088</v>
      </c>
      <c r="G145" s="29" t="s">
        <v>59</v>
      </c>
      <c r="H145" s="32">
        <v>46102</v>
      </c>
      <c r="I145" s="33">
        <v>46102</v>
      </c>
      <c r="J145" s="34" t="s">
        <v>71</v>
      </c>
      <c r="K145" s="35">
        <v>0.36964120370370368</v>
      </c>
      <c r="L145" s="35">
        <v>0.36997685185185186</v>
      </c>
      <c r="M145" s="36">
        <v>0.45297453703703705</v>
      </c>
      <c r="N145" s="35">
        <v>0.45331018518518518</v>
      </c>
      <c r="O145" s="37">
        <f>IF(N145&gt;M145,N145-M145,(N145+1)-M145)</f>
        <v>3.356481481481266E-4</v>
      </c>
      <c r="P145" s="29" t="s">
        <v>141</v>
      </c>
      <c r="Q145" s="29" t="s">
        <v>142</v>
      </c>
      <c r="R145" s="29" t="s">
        <v>143</v>
      </c>
      <c r="S145" s="38" t="s">
        <v>49</v>
      </c>
      <c r="T145" s="39" t="s">
        <v>73</v>
      </c>
      <c r="U145" s="39" t="s">
        <v>59</v>
      </c>
      <c r="V145" s="38" t="s">
        <v>100</v>
      </c>
      <c r="W145" s="40" t="s">
        <v>59</v>
      </c>
      <c r="X145" s="13" t="s">
        <v>59</v>
      </c>
      <c r="Y145" s="13" t="s">
        <v>59</v>
      </c>
      <c r="Z145" s="13" t="s">
        <v>59</v>
      </c>
      <c r="AA145" s="13" t="s">
        <v>59</v>
      </c>
      <c r="AB145" s="41" t="s">
        <v>59</v>
      </c>
      <c r="AC145" s="16" t="s">
        <v>59</v>
      </c>
      <c r="AD145" s="42" t="s">
        <v>59</v>
      </c>
      <c r="AE145" s="42">
        <v>6.3</v>
      </c>
      <c r="AF145" s="42">
        <v>4.95</v>
      </c>
      <c r="AG145" s="43" t="s">
        <v>59</v>
      </c>
      <c r="AH145" s="43" t="s">
        <v>59</v>
      </c>
      <c r="AI145" s="43" t="s">
        <v>59</v>
      </c>
      <c r="AJ145" s="17" t="s">
        <v>59</v>
      </c>
      <c r="AK145" s="17" t="s">
        <v>59</v>
      </c>
      <c r="AL145" s="17">
        <v>0.84</v>
      </c>
      <c r="AM145" s="17" t="s">
        <v>59</v>
      </c>
      <c r="AN145" s="17" t="s">
        <v>59</v>
      </c>
      <c r="AO145" s="44" t="s">
        <v>61</v>
      </c>
    </row>
    <row r="146" spans="1:41" ht="12" customHeight="1" x14ac:dyDescent="0.35">
      <c r="A146" s="29" t="s">
        <v>96</v>
      </c>
      <c r="B146" s="30" t="s">
        <v>200</v>
      </c>
      <c r="C146" s="29">
        <v>26</v>
      </c>
      <c r="D146" s="29" t="s">
        <v>201</v>
      </c>
      <c r="E146" s="31" t="s">
        <v>205</v>
      </c>
      <c r="F146" s="29">
        <v>2724</v>
      </c>
      <c r="G146" s="29" t="s">
        <v>59</v>
      </c>
      <c r="H146" s="32">
        <v>46102</v>
      </c>
      <c r="I146" s="33">
        <v>46102</v>
      </c>
      <c r="J146" s="34" t="s">
        <v>71</v>
      </c>
      <c r="K146" s="35">
        <v>8.7777777777777774E-2</v>
      </c>
      <c r="L146" s="35">
        <v>0.1362962962962963</v>
      </c>
      <c r="M146" s="36">
        <v>0.12944444444444445</v>
      </c>
      <c r="N146" s="35">
        <v>0.17796296296296296</v>
      </c>
      <c r="O146" s="37">
        <f>IF(N146&gt;M146,N146-M146,(N146+1)-M146)</f>
        <v>4.8518518518518516E-2</v>
      </c>
      <c r="P146" s="29" t="s">
        <v>203</v>
      </c>
      <c r="Q146" s="29" t="s">
        <v>136</v>
      </c>
      <c r="R146" s="29" t="s">
        <v>204</v>
      </c>
      <c r="S146" s="38" t="s">
        <v>48</v>
      </c>
      <c r="T146" s="39" t="s">
        <v>73</v>
      </c>
      <c r="U146" s="39" t="s">
        <v>59</v>
      </c>
      <c r="V146" s="38" t="s">
        <v>100</v>
      </c>
      <c r="W146" s="40" t="s">
        <v>59</v>
      </c>
      <c r="X146" s="13" t="s">
        <v>59</v>
      </c>
      <c r="Y146" s="13" t="s">
        <v>59</v>
      </c>
      <c r="Z146" s="13" t="s">
        <v>59</v>
      </c>
      <c r="AA146" s="13" t="s">
        <v>59</v>
      </c>
      <c r="AB146" s="41" t="s">
        <v>59</v>
      </c>
      <c r="AC146" s="16" t="s">
        <v>59</v>
      </c>
      <c r="AD146" s="42" t="s">
        <v>59</v>
      </c>
      <c r="AE146" s="42">
        <v>22.9</v>
      </c>
      <c r="AF146" s="42">
        <v>3</v>
      </c>
      <c r="AG146" s="43" t="s">
        <v>59</v>
      </c>
      <c r="AH146" s="43" t="s">
        <v>59</v>
      </c>
      <c r="AI146" s="43" t="s">
        <v>59</v>
      </c>
      <c r="AJ146" s="17" t="s">
        <v>59</v>
      </c>
      <c r="AK146" s="17" t="s">
        <v>59</v>
      </c>
      <c r="AL146" s="17">
        <v>0.85610462846651836</v>
      </c>
      <c r="AM146" s="17" t="s">
        <v>59</v>
      </c>
      <c r="AN146" s="17" t="s">
        <v>59</v>
      </c>
      <c r="AO146" s="44" t="s">
        <v>61</v>
      </c>
    </row>
    <row r="147" spans="1:41" ht="12" customHeight="1" x14ac:dyDescent="0.35">
      <c r="A147" s="29" t="s">
        <v>96</v>
      </c>
      <c r="B147" s="30" t="s">
        <v>127</v>
      </c>
      <c r="C147" s="29">
        <v>5</v>
      </c>
      <c r="D147" s="29" t="s">
        <v>128</v>
      </c>
      <c r="E147" s="31" t="s">
        <v>129</v>
      </c>
      <c r="F147" s="29">
        <v>21831</v>
      </c>
      <c r="G147" s="29" t="s">
        <v>59</v>
      </c>
      <c r="H147" s="32">
        <v>46101</v>
      </c>
      <c r="I147" s="33">
        <v>46101</v>
      </c>
      <c r="J147" s="34" t="s">
        <v>79</v>
      </c>
      <c r="K147" s="35">
        <v>0.3746990740740741</v>
      </c>
      <c r="L147" s="35">
        <v>0.54156249999999995</v>
      </c>
      <c r="M147" s="36">
        <v>0.45803240740740742</v>
      </c>
      <c r="N147" s="35">
        <v>0.62489583333333332</v>
      </c>
      <c r="O147" s="37">
        <f>IF(N147&gt;M147,N147-M147,(N147+1)-M147)</f>
        <v>0.1668634259259259</v>
      </c>
      <c r="P147" s="29" t="s">
        <v>130</v>
      </c>
      <c r="Q147" s="29" t="s">
        <v>59</v>
      </c>
      <c r="R147" s="29" t="s">
        <v>130</v>
      </c>
      <c r="S147" s="38" t="s">
        <v>46</v>
      </c>
      <c r="T147" s="39" t="s">
        <v>73</v>
      </c>
      <c r="U147" s="39" t="s">
        <v>59</v>
      </c>
      <c r="V147" s="38" t="s">
        <v>100</v>
      </c>
      <c r="W147" s="40" t="s">
        <v>59</v>
      </c>
      <c r="X147" s="13" t="s">
        <v>59</v>
      </c>
      <c r="Y147" s="13" t="s">
        <v>59</v>
      </c>
      <c r="Z147" s="13" t="s">
        <v>59</v>
      </c>
      <c r="AA147" s="13" t="s">
        <v>59</v>
      </c>
      <c r="AB147" s="41" t="s">
        <v>59</v>
      </c>
      <c r="AC147" s="16" t="s">
        <v>59</v>
      </c>
      <c r="AD147" s="42" t="s">
        <v>59</v>
      </c>
      <c r="AE147" s="42">
        <v>5.3</v>
      </c>
      <c r="AF147" s="42">
        <v>0.6</v>
      </c>
      <c r="AG147" s="43" t="s">
        <v>59</v>
      </c>
      <c r="AH147" s="43" t="s">
        <v>59</v>
      </c>
      <c r="AI147" s="43" t="s">
        <v>59</v>
      </c>
      <c r="AJ147" s="17" t="s">
        <v>59</v>
      </c>
      <c r="AK147" s="17" t="s">
        <v>59</v>
      </c>
      <c r="AL147" s="17">
        <v>0.8833333333333333</v>
      </c>
      <c r="AM147" s="17" t="s">
        <v>59</v>
      </c>
      <c r="AN147" s="17" t="s">
        <v>59</v>
      </c>
      <c r="AO147" s="44" t="s">
        <v>61</v>
      </c>
    </row>
    <row r="148" spans="1:41" ht="12" customHeight="1" x14ac:dyDescent="0.35">
      <c r="A148" s="29" t="s">
        <v>96</v>
      </c>
      <c r="B148" s="30" t="s">
        <v>127</v>
      </c>
      <c r="C148" s="29">
        <v>5</v>
      </c>
      <c r="D148" s="29" t="s">
        <v>128</v>
      </c>
      <c r="E148" s="31" t="s">
        <v>129</v>
      </c>
      <c r="F148" s="29">
        <v>21831</v>
      </c>
      <c r="G148" s="29" t="s">
        <v>59</v>
      </c>
      <c r="H148" s="32">
        <v>46105</v>
      </c>
      <c r="I148" s="33">
        <v>46105</v>
      </c>
      <c r="J148" s="34" t="s">
        <v>99</v>
      </c>
      <c r="K148" s="35">
        <v>0</v>
      </c>
      <c r="L148" s="35">
        <v>2.3599537037037037E-2</v>
      </c>
      <c r="M148" s="36">
        <v>8.3333333333333329E-2</v>
      </c>
      <c r="N148" s="35">
        <v>0.10693287037037037</v>
      </c>
      <c r="O148" s="37">
        <f>IF(N148&gt;M148,N148-M148,(N148+1)-M148)</f>
        <v>2.3599537037037044E-2</v>
      </c>
      <c r="P148" s="29" t="s">
        <v>131</v>
      </c>
      <c r="Q148" s="29" t="s">
        <v>59</v>
      </c>
      <c r="R148" s="29" t="s">
        <v>131</v>
      </c>
      <c r="S148" s="38" t="s">
        <v>49</v>
      </c>
      <c r="T148" s="39" t="s">
        <v>73</v>
      </c>
      <c r="U148" s="39" t="s">
        <v>59</v>
      </c>
      <c r="V148" s="38" t="s">
        <v>107</v>
      </c>
      <c r="W148" s="40" t="s">
        <v>59</v>
      </c>
      <c r="X148" s="13" t="s">
        <v>59</v>
      </c>
      <c r="Y148" s="13" t="s">
        <v>59</v>
      </c>
      <c r="Z148" s="13" t="s">
        <v>59</v>
      </c>
      <c r="AA148" s="13" t="s">
        <v>59</v>
      </c>
      <c r="AB148" s="41" t="s">
        <v>59</v>
      </c>
      <c r="AC148" s="16" t="s">
        <v>59</v>
      </c>
      <c r="AD148" s="42" t="s">
        <v>59</v>
      </c>
      <c r="AE148" s="42">
        <v>5.3</v>
      </c>
      <c r="AF148" s="42">
        <v>1.7</v>
      </c>
      <c r="AG148" s="43" t="s">
        <v>59</v>
      </c>
      <c r="AH148" s="43" t="s">
        <v>59</v>
      </c>
      <c r="AI148" s="43" t="s">
        <v>59</v>
      </c>
      <c r="AJ148" s="17" t="s">
        <v>59</v>
      </c>
      <c r="AK148" s="17" t="s">
        <v>59</v>
      </c>
      <c r="AL148" s="17">
        <v>0.8833333333333333</v>
      </c>
      <c r="AM148" s="17" t="s">
        <v>59</v>
      </c>
      <c r="AN148" s="17" t="s">
        <v>59</v>
      </c>
      <c r="AO148" s="44" t="s">
        <v>61</v>
      </c>
    </row>
    <row r="149" spans="1:41" ht="12" customHeight="1" x14ac:dyDescent="0.35">
      <c r="A149" s="29" t="s">
        <v>68</v>
      </c>
      <c r="B149" s="30" t="s">
        <v>111</v>
      </c>
      <c r="C149" s="29">
        <v>78</v>
      </c>
      <c r="D149" s="29" t="s">
        <v>112</v>
      </c>
      <c r="E149" s="31" t="s">
        <v>121</v>
      </c>
      <c r="F149" s="29">
        <v>4586</v>
      </c>
      <c r="G149" s="29" t="s">
        <v>59</v>
      </c>
      <c r="H149" s="32">
        <v>46105</v>
      </c>
      <c r="I149" s="33">
        <v>46105</v>
      </c>
      <c r="J149" s="34" t="s">
        <v>99</v>
      </c>
      <c r="K149" s="35">
        <v>0.85138888888888886</v>
      </c>
      <c r="L149" s="35">
        <v>0.90625</v>
      </c>
      <c r="M149" s="36">
        <v>0.72638888888888886</v>
      </c>
      <c r="N149" s="35">
        <v>0.78125</v>
      </c>
      <c r="O149" s="37">
        <f>IF(N149&gt;M149,N149-M149,(N149+1)-M149)</f>
        <v>5.4861111111111138E-2</v>
      </c>
      <c r="P149" s="29" t="s">
        <v>122</v>
      </c>
      <c r="Q149" s="29" t="s">
        <v>125</v>
      </c>
      <c r="R149" s="29" t="s">
        <v>126</v>
      </c>
      <c r="S149" s="38" t="s">
        <v>48</v>
      </c>
      <c r="T149" s="39" t="s">
        <v>73</v>
      </c>
      <c r="U149" s="39" t="s">
        <v>59</v>
      </c>
      <c r="V149" s="38" t="s">
        <v>107</v>
      </c>
      <c r="W149" s="40" t="s">
        <v>59</v>
      </c>
      <c r="X149" s="13" t="s">
        <v>59</v>
      </c>
      <c r="Y149" s="13" t="s">
        <v>59</v>
      </c>
      <c r="Z149" s="13" t="s">
        <v>59</v>
      </c>
      <c r="AA149" s="13" t="s">
        <v>59</v>
      </c>
      <c r="AB149" s="41" t="s">
        <v>59</v>
      </c>
      <c r="AC149" s="16" t="s">
        <v>59</v>
      </c>
      <c r="AD149" s="42" t="s">
        <v>59</v>
      </c>
      <c r="AE149" s="42">
        <v>5.36</v>
      </c>
      <c r="AF149" s="42">
        <v>0.04</v>
      </c>
      <c r="AG149" s="43" t="s">
        <v>59</v>
      </c>
      <c r="AH149" s="43" t="s">
        <v>59</v>
      </c>
      <c r="AI149" s="43" t="s">
        <v>59</v>
      </c>
      <c r="AJ149" s="17" t="s">
        <v>59</v>
      </c>
      <c r="AK149" s="17" t="s">
        <v>59</v>
      </c>
      <c r="AL149" s="17">
        <v>0.89903204504017176</v>
      </c>
      <c r="AM149" s="17" t="s">
        <v>59</v>
      </c>
      <c r="AN149" s="17" t="s">
        <v>59</v>
      </c>
      <c r="AO149" s="44" t="s">
        <v>61</v>
      </c>
    </row>
    <row r="150" spans="1:41" ht="12" customHeight="1" x14ac:dyDescent="0.35">
      <c r="A150" s="29" t="s">
        <v>96</v>
      </c>
      <c r="B150" s="30" t="s">
        <v>200</v>
      </c>
      <c r="C150" s="29">
        <v>26</v>
      </c>
      <c r="D150" s="29" t="s">
        <v>201</v>
      </c>
      <c r="E150" s="31" t="s">
        <v>205</v>
      </c>
      <c r="F150" s="29">
        <v>2724</v>
      </c>
      <c r="G150" s="29" t="s">
        <v>59</v>
      </c>
      <c r="H150" s="32">
        <v>46103</v>
      </c>
      <c r="I150" s="33">
        <v>46103</v>
      </c>
      <c r="J150" s="34" t="s">
        <v>74</v>
      </c>
      <c r="K150" s="35">
        <v>4.1666666666666664E-2</v>
      </c>
      <c r="L150" s="35">
        <v>7.8541666666666662E-2</v>
      </c>
      <c r="M150" s="36">
        <v>8.3333333333333329E-2</v>
      </c>
      <c r="N150" s="35">
        <v>0.12020833333333333</v>
      </c>
      <c r="O150" s="37">
        <f>IF(N150&gt;M150,N150-M150,(N150+1)-M150)</f>
        <v>3.6875000000000005E-2</v>
      </c>
      <c r="P150" s="29" t="s">
        <v>203</v>
      </c>
      <c r="Q150" s="29" t="s">
        <v>136</v>
      </c>
      <c r="R150" s="29" t="s">
        <v>204</v>
      </c>
      <c r="S150" s="38" t="s">
        <v>49</v>
      </c>
      <c r="T150" s="39" t="s">
        <v>73</v>
      </c>
      <c r="U150" s="39" t="s">
        <v>59</v>
      </c>
      <c r="V150" s="38" t="s">
        <v>104</v>
      </c>
      <c r="W150" s="40" t="s">
        <v>59</v>
      </c>
      <c r="X150" s="13" t="s">
        <v>59</v>
      </c>
      <c r="Y150" s="13" t="s">
        <v>59</v>
      </c>
      <c r="Z150" s="13" t="s">
        <v>59</v>
      </c>
      <c r="AA150" s="13" t="s">
        <v>59</v>
      </c>
      <c r="AB150" s="41" t="s">
        <v>59</v>
      </c>
      <c r="AC150" s="16" t="s">
        <v>59</v>
      </c>
      <c r="AD150" s="42" t="s">
        <v>59</v>
      </c>
      <c r="AE150" s="42">
        <v>25.1</v>
      </c>
      <c r="AF150" s="42">
        <v>2.13</v>
      </c>
      <c r="AG150" s="43" t="s">
        <v>59</v>
      </c>
      <c r="AH150" s="43" t="s">
        <v>59</v>
      </c>
      <c r="AI150" s="43" t="s">
        <v>59</v>
      </c>
      <c r="AJ150" s="17" t="s">
        <v>59</v>
      </c>
      <c r="AK150" s="17" t="s">
        <v>59</v>
      </c>
      <c r="AL150" s="17">
        <v>0.93835048796985221</v>
      </c>
      <c r="AM150" s="17" t="s">
        <v>59</v>
      </c>
      <c r="AN150" s="17" t="s">
        <v>59</v>
      </c>
      <c r="AO150" s="44" t="s">
        <v>61</v>
      </c>
    </row>
    <row r="151" spans="1:41" ht="12" customHeight="1" x14ac:dyDescent="0.35">
      <c r="A151" s="29" t="s">
        <v>68</v>
      </c>
      <c r="B151" s="30" t="s">
        <v>111</v>
      </c>
      <c r="C151" s="29">
        <v>78</v>
      </c>
      <c r="D151" s="29" t="s">
        <v>112</v>
      </c>
      <c r="E151" s="31" t="s">
        <v>121</v>
      </c>
      <c r="F151" s="29">
        <v>4586</v>
      </c>
      <c r="G151" s="29" t="s">
        <v>59</v>
      </c>
      <c r="H151" s="32">
        <v>46105</v>
      </c>
      <c r="I151" s="33">
        <v>46105</v>
      </c>
      <c r="J151" s="34" t="s">
        <v>99</v>
      </c>
      <c r="K151" s="35">
        <v>0.8041666666666667</v>
      </c>
      <c r="L151" s="35">
        <v>0.82013888888888886</v>
      </c>
      <c r="M151" s="36">
        <v>0.6791666666666667</v>
      </c>
      <c r="N151" s="35">
        <v>0.69513888888888886</v>
      </c>
      <c r="O151" s="37">
        <f>IF(N151&gt;M151,N151-M151,(N151+1)-M151)</f>
        <v>1.5972222222222165E-2</v>
      </c>
      <c r="P151" s="29" t="s">
        <v>122</v>
      </c>
      <c r="Q151" s="29" t="s">
        <v>125</v>
      </c>
      <c r="R151" s="29" t="s">
        <v>126</v>
      </c>
      <c r="S151" s="38" t="s">
        <v>49</v>
      </c>
      <c r="T151" s="39" t="s">
        <v>73</v>
      </c>
      <c r="U151" s="39" t="s">
        <v>59</v>
      </c>
      <c r="V151" s="38" t="s">
        <v>107</v>
      </c>
      <c r="W151" s="40" t="s">
        <v>59</v>
      </c>
      <c r="X151" s="13" t="s">
        <v>59</v>
      </c>
      <c r="Y151" s="13" t="s">
        <v>59</v>
      </c>
      <c r="Z151" s="13" t="s">
        <v>59</v>
      </c>
      <c r="AA151" s="13" t="s">
        <v>59</v>
      </c>
      <c r="AB151" s="41" t="s">
        <v>59</v>
      </c>
      <c r="AC151" s="16" t="s">
        <v>59</v>
      </c>
      <c r="AD151" s="42" t="s">
        <v>59</v>
      </c>
      <c r="AE151" s="42">
        <v>5.75</v>
      </c>
      <c r="AF151" s="42">
        <v>0.05</v>
      </c>
      <c r="AG151" s="43" t="s">
        <v>59</v>
      </c>
      <c r="AH151" s="43" t="s">
        <v>59</v>
      </c>
      <c r="AI151" s="43" t="s">
        <v>59</v>
      </c>
      <c r="AJ151" s="17" t="s">
        <v>59</v>
      </c>
      <c r="AK151" s="17" t="s">
        <v>59</v>
      </c>
      <c r="AL151" s="17">
        <v>0.96444669010839301</v>
      </c>
      <c r="AM151" s="17" t="s">
        <v>59</v>
      </c>
      <c r="AN151" s="17" t="s">
        <v>59</v>
      </c>
      <c r="AO151" s="44" t="s">
        <v>61</v>
      </c>
    </row>
    <row r="152" spans="1:41" ht="12" customHeight="1" x14ac:dyDescent="0.35">
      <c r="A152" s="29" t="s">
        <v>68</v>
      </c>
      <c r="B152" s="30" t="s">
        <v>111</v>
      </c>
      <c r="C152" s="29">
        <v>78</v>
      </c>
      <c r="D152" s="29" t="s">
        <v>112</v>
      </c>
      <c r="E152" s="31" t="s">
        <v>121</v>
      </c>
      <c r="F152" s="29">
        <v>4586</v>
      </c>
      <c r="G152" s="29" t="s">
        <v>59</v>
      </c>
      <c r="H152" s="32">
        <v>46105</v>
      </c>
      <c r="I152" s="33">
        <v>46105</v>
      </c>
      <c r="J152" s="34" t="s">
        <v>99</v>
      </c>
      <c r="K152" s="35">
        <v>0.67013888888888884</v>
      </c>
      <c r="L152" s="35">
        <v>0.67361111111111116</v>
      </c>
      <c r="M152" s="36">
        <v>0.54513888888888884</v>
      </c>
      <c r="N152" s="35">
        <v>0.54861111111111116</v>
      </c>
      <c r="O152" s="37">
        <f>IF(N152&gt;M152,N152-M152,(N152+1)-M152)</f>
        <v>3.4722222222223209E-3</v>
      </c>
      <c r="P152" s="29" t="s">
        <v>122</v>
      </c>
      <c r="Q152" s="29" t="s">
        <v>125</v>
      </c>
      <c r="R152" s="29" t="s">
        <v>126</v>
      </c>
      <c r="S152" s="38" t="s">
        <v>49</v>
      </c>
      <c r="T152" s="39" t="s">
        <v>73</v>
      </c>
      <c r="U152" s="39" t="s">
        <v>59</v>
      </c>
      <c r="V152" s="38" t="s">
        <v>107</v>
      </c>
      <c r="W152" s="40" t="s">
        <v>59</v>
      </c>
      <c r="X152" s="13" t="s">
        <v>59</v>
      </c>
      <c r="Y152" s="13" t="s">
        <v>59</v>
      </c>
      <c r="Z152" s="13" t="s">
        <v>59</v>
      </c>
      <c r="AA152" s="13" t="s">
        <v>59</v>
      </c>
      <c r="AB152" s="41" t="s">
        <v>59</v>
      </c>
      <c r="AC152" s="16" t="s">
        <v>59</v>
      </c>
      <c r="AD152" s="42" t="s">
        <v>59</v>
      </c>
      <c r="AE152" s="42">
        <v>6</v>
      </c>
      <c r="AF152" s="42">
        <v>0.05</v>
      </c>
      <c r="AG152" s="43" t="s">
        <v>59</v>
      </c>
      <c r="AH152" s="43" t="s">
        <v>59</v>
      </c>
      <c r="AI152" s="43" t="s">
        <v>59</v>
      </c>
      <c r="AJ152" s="17" t="s">
        <v>59</v>
      </c>
      <c r="AK152" s="17" t="s">
        <v>59</v>
      </c>
      <c r="AL152" s="17">
        <v>1.0063791548957144</v>
      </c>
      <c r="AM152" s="17" t="s">
        <v>59</v>
      </c>
      <c r="AN152" s="17" t="s">
        <v>59</v>
      </c>
      <c r="AO152" s="44" t="s">
        <v>61</v>
      </c>
    </row>
    <row r="153" spans="1:41" ht="12" customHeight="1" x14ac:dyDescent="0.35">
      <c r="A153" s="29" t="s">
        <v>96</v>
      </c>
      <c r="B153" s="30" t="s">
        <v>200</v>
      </c>
      <c r="C153" s="29">
        <v>26</v>
      </c>
      <c r="D153" s="29" t="s">
        <v>201</v>
      </c>
      <c r="E153" s="31" t="s">
        <v>205</v>
      </c>
      <c r="F153" s="29">
        <v>2724</v>
      </c>
      <c r="G153" s="29" t="s">
        <v>59</v>
      </c>
      <c r="H153" s="32">
        <v>46102</v>
      </c>
      <c r="I153" s="33">
        <v>46103</v>
      </c>
      <c r="J153" s="34" t="s">
        <v>71</v>
      </c>
      <c r="K153" s="35">
        <v>0.97472222222222227</v>
      </c>
      <c r="L153" s="35">
        <v>4.1655092592592591E-2</v>
      </c>
      <c r="M153" s="36">
        <v>1.638888888888889E-2</v>
      </c>
      <c r="N153" s="35">
        <v>8.3321759259259262E-2</v>
      </c>
      <c r="O153" s="37">
        <f>IF(N153&gt;M153,N153-M153,(N153+1)-M153)</f>
        <v>6.6932870370370379E-2</v>
      </c>
      <c r="P153" s="29" t="s">
        <v>203</v>
      </c>
      <c r="Q153" s="29" t="s">
        <v>136</v>
      </c>
      <c r="R153" s="29" t="s">
        <v>204</v>
      </c>
      <c r="S153" s="38" t="s">
        <v>48</v>
      </c>
      <c r="T153" s="39" t="s">
        <v>73</v>
      </c>
      <c r="U153" s="39" t="s">
        <v>59</v>
      </c>
      <c r="V153" s="38" t="s">
        <v>104</v>
      </c>
      <c r="W153" s="40" t="s">
        <v>59</v>
      </c>
      <c r="X153" s="13" t="s">
        <v>59</v>
      </c>
      <c r="Y153" s="13" t="s">
        <v>59</v>
      </c>
      <c r="Z153" s="13" t="s">
        <v>59</v>
      </c>
      <c r="AA153" s="13" t="s">
        <v>59</v>
      </c>
      <c r="AB153" s="41" t="s">
        <v>59</v>
      </c>
      <c r="AC153" s="16" t="s">
        <v>59</v>
      </c>
      <c r="AD153" s="42" t="s">
        <v>59</v>
      </c>
      <c r="AE153" s="42">
        <v>27.9</v>
      </c>
      <c r="AF153" s="42">
        <v>1.19</v>
      </c>
      <c r="AG153" s="43" t="s">
        <v>59</v>
      </c>
      <c r="AH153" s="43" t="s">
        <v>59</v>
      </c>
      <c r="AI153" s="43" t="s">
        <v>59</v>
      </c>
      <c r="AJ153" s="17" t="s">
        <v>59</v>
      </c>
      <c r="AK153" s="17" t="s">
        <v>59</v>
      </c>
      <c r="AL153" s="17">
        <v>1.0430270364286403</v>
      </c>
      <c r="AM153" s="17" t="s">
        <v>59</v>
      </c>
      <c r="AN153" s="17" t="s">
        <v>59</v>
      </c>
      <c r="AO153" s="44" t="s">
        <v>61</v>
      </c>
    </row>
    <row r="154" spans="1:41" ht="12" customHeight="1" x14ac:dyDescent="0.35">
      <c r="A154" s="29" t="s">
        <v>96</v>
      </c>
      <c r="B154" s="30" t="s">
        <v>260</v>
      </c>
      <c r="C154" s="29">
        <v>33</v>
      </c>
      <c r="D154" s="29" t="s">
        <v>261</v>
      </c>
      <c r="E154" s="31" t="s">
        <v>262</v>
      </c>
      <c r="F154" s="29">
        <v>31586</v>
      </c>
      <c r="G154" s="29" t="s">
        <v>59</v>
      </c>
      <c r="H154" s="32">
        <v>46105</v>
      </c>
      <c r="I154" s="33">
        <v>46106</v>
      </c>
      <c r="J154" s="34" t="s">
        <v>99</v>
      </c>
      <c r="K154" s="35">
        <v>0.95833333333333337</v>
      </c>
      <c r="L154" s="35">
        <v>0.97280092592592593</v>
      </c>
      <c r="M154" s="36">
        <v>8.3333333333333329E-2</v>
      </c>
      <c r="N154" s="35">
        <v>9.780092592592593E-2</v>
      </c>
      <c r="O154" s="37">
        <f>IF(N154&gt;M154,N154-M154,(N154+1)-M154)</f>
        <v>1.4467592592592601E-2</v>
      </c>
      <c r="P154" s="29" t="s">
        <v>265</v>
      </c>
      <c r="Q154" s="29" t="s">
        <v>59</v>
      </c>
      <c r="R154" s="29" t="s">
        <v>265</v>
      </c>
      <c r="S154" s="38" t="s">
        <v>49</v>
      </c>
      <c r="T154" s="39" t="s">
        <v>73</v>
      </c>
      <c r="U154" s="39" t="s">
        <v>59</v>
      </c>
      <c r="V154" s="38" t="s">
        <v>107</v>
      </c>
      <c r="W154" s="40" t="s">
        <v>59</v>
      </c>
      <c r="X154" s="13" t="s">
        <v>59</v>
      </c>
      <c r="Y154" s="13" t="s">
        <v>59</v>
      </c>
      <c r="Z154" s="13" t="s">
        <v>59</v>
      </c>
      <c r="AA154" s="13" t="s">
        <v>59</v>
      </c>
      <c r="AB154" s="41" t="s">
        <v>59</v>
      </c>
      <c r="AC154" s="16" t="s">
        <v>59</v>
      </c>
      <c r="AD154" s="42" t="s">
        <v>59</v>
      </c>
      <c r="AE154" s="42">
        <v>10.1</v>
      </c>
      <c r="AF154" s="42">
        <v>0.2</v>
      </c>
      <c r="AG154" s="43" t="s">
        <v>59</v>
      </c>
      <c r="AH154" s="43" t="s">
        <v>59</v>
      </c>
      <c r="AI154" s="43" t="s">
        <v>59</v>
      </c>
      <c r="AJ154" s="17" t="s">
        <v>59</v>
      </c>
      <c r="AK154" s="17" t="s">
        <v>59</v>
      </c>
      <c r="AL154" s="17">
        <v>1.1222222222222222</v>
      </c>
      <c r="AM154" s="17" t="s">
        <v>59</v>
      </c>
      <c r="AN154" s="17" t="s">
        <v>59</v>
      </c>
      <c r="AO154" s="44" t="s">
        <v>61</v>
      </c>
    </row>
    <row r="155" spans="1:41" ht="12" customHeight="1" x14ac:dyDescent="0.35">
      <c r="A155" s="29" t="s">
        <v>96</v>
      </c>
      <c r="B155" s="30" t="s">
        <v>212</v>
      </c>
      <c r="C155" s="29">
        <v>128</v>
      </c>
      <c r="D155" s="29" t="s">
        <v>213</v>
      </c>
      <c r="E155" s="31" t="s">
        <v>214</v>
      </c>
      <c r="F155" s="29">
        <v>1160</v>
      </c>
      <c r="G155" s="29" t="s">
        <v>59</v>
      </c>
      <c r="H155" s="32">
        <v>46104</v>
      </c>
      <c r="I155" s="33">
        <v>46104</v>
      </c>
      <c r="J155" s="34" t="s">
        <v>67</v>
      </c>
      <c r="K155" s="35">
        <v>5.9143518518518519E-2</v>
      </c>
      <c r="L155" s="35">
        <v>0.22797453703703704</v>
      </c>
      <c r="M155" s="36">
        <v>0.10081018518518518</v>
      </c>
      <c r="N155" s="35">
        <v>0.2696412037037037</v>
      </c>
      <c r="O155" s="37">
        <f>IF(N155&gt;M155,N155-M155,(N155+1)-M155)</f>
        <v>0.16883101851851851</v>
      </c>
      <c r="P155" s="29" t="s">
        <v>218</v>
      </c>
      <c r="Q155" s="29" t="s">
        <v>216</v>
      </c>
      <c r="R155" s="29" t="s">
        <v>219</v>
      </c>
      <c r="S155" s="38" t="s">
        <v>48</v>
      </c>
      <c r="T155" s="39" t="s">
        <v>73</v>
      </c>
      <c r="U155" s="39" t="s">
        <v>59</v>
      </c>
      <c r="V155" s="38" t="s">
        <v>107</v>
      </c>
      <c r="W155" s="40" t="s">
        <v>59</v>
      </c>
      <c r="X155" s="13" t="s">
        <v>59</v>
      </c>
      <c r="Y155" s="13" t="s">
        <v>59</v>
      </c>
      <c r="Z155" s="13" t="s">
        <v>59</v>
      </c>
      <c r="AA155" s="13" t="s">
        <v>59</v>
      </c>
      <c r="AB155" s="41" t="s">
        <v>59</v>
      </c>
      <c r="AC155" s="16" t="s">
        <v>59</v>
      </c>
      <c r="AD155" s="42" t="s">
        <v>59</v>
      </c>
      <c r="AE155" s="42">
        <v>6.2</v>
      </c>
      <c r="AF155" s="42">
        <v>1.27</v>
      </c>
      <c r="AG155" s="43" t="s">
        <v>59</v>
      </c>
      <c r="AH155" s="43" t="s">
        <v>59</v>
      </c>
      <c r="AI155" s="43" t="s">
        <v>59</v>
      </c>
      <c r="AJ155" s="17" t="s">
        <v>59</v>
      </c>
      <c r="AK155" s="17" t="s">
        <v>59</v>
      </c>
      <c r="AL155" s="17">
        <v>1.1469720101781169</v>
      </c>
      <c r="AM155" s="17" t="s">
        <v>59</v>
      </c>
      <c r="AN155" s="17" t="s">
        <v>59</v>
      </c>
      <c r="AO155" s="44" t="s">
        <v>61</v>
      </c>
    </row>
    <row r="156" spans="1:41" ht="12" customHeight="1" x14ac:dyDescent="0.35">
      <c r="A156" s="29" t="s">
        <v>96</v>
      </c>
      <c r="B156" s="30" t="s">
        <v>127</v>
      </c>
      <c r="C156" s="29">
        <v>5</v>
      </c>
      <c r="D156" s="29" t="s">
        <v>128</v>
      </c>
      <c r="E156" s="31" t="s">
        <v>129</v>
      </c>
      <c r="F156" s="29">
        <v>21831</v>
      </c>
      <c r="G156" s="29" t="s">
        <v>59</v>
      </c>
      <c r="H156" s="32">
        <v>46102</v>
      </c>
      <c r="I156" s="33">
        <v>46102</v>
      </c>
      <c r="J156" s="34" t="s">
        <v>71</v>
      </c>
      <c r="K156" s="35">
        <v>0.3866087962962963</v>
      </c>
      <c r="L156" s="35">
        <v>0.40515046296296298</v>
      </c>
      <c r="M156" s="36">
        <v>0.46994212962962961</v>
      </c>
      <c r="N156" s="35">
        <v>0.48848379629629629</v>
      </c>
      <c r="O156" s="37">
        <f>IF(N156&gt;M156,N156-M156,(N156+1)-M156)</f>
        <v>1.8541666666666679E-2</v>
      </c>
      <c r="P156" s="29" t="s">
        <v>130</v>
      </c>
      <c r="Q156" s="29" t="s">
        <v>59</v>
      </c>
      <c r="R156" s="29" t="s">
        <v>130</v>
      </c>
      <c r="S156" s="38" t="s">
        <v>46</v>
      </c>
      <c r="T156" s="39" t="s">
        <v>73</v>
      </c>
      <c r="U156" s="39" t="s">
        <v>59</v>
      </c>
      <c r="V156" s="38" t="s">
        <v>104</v>
      </c>
      <c r="W156" s="40" t="s">
        <v>59</v>
      </c>
      <c r="X156" s="13" t="s">
        <v>59</v>
      </c>
      <c r="Y156" s="13" t="s">
        <v>59</v>
      </c>
      <c r="Z156" s="13" t="s">
        <v>59</v>
      </c>
      <c r="AA156" s="13" t="s">
        <v>59</v>
      </c>
      <c r="AB156" s="41" t="s">
        <v>59</v>
      </c>
      <c r="AC156" s="16" t="s">
        <v>59</v>
      </c>
      <c r="AD156" s="42" t="s">
        <v>59</v>
      </c>
      <c r="AE156" s="42">
        <v>7.5</v>
      </c>
      <c r="AF156" s="42">
        <v>0.7</v>
      </c>
      <c r="AG156" s="43" t="s">
        <v>59</v>
      </c>
      <c r="AH156" s="43" t="s">
        <v>59</v>
      </c>
      <c r="AI156" s="43" t="s">
        <v>59</v>
      </c>
      <c r="AJ156" s="17" t="s">
        <v>59</v>
      </c>
      <c r="AK156" s="17" t="s">
        <v>59</v>
      </c>
      <c r="AL156" s="17">
        <v>1.25</v>
      </c>
      <c r="AM156" s="17" t="s">
        <v>59</v>
      </c>
      <c r="AN156" s="17" t="s">
        <v>59</v>
      </c>
      <c r="AO156" s="44" t="s">
        <v>61</v>
      </c>
    </row>
    <row r="157" spans="1:41" ht="12" customHeight="1" x14ac:dyDescent="0.35">
      <c r="A157" s="29" t="s">
        <v>68</v>
      </c>
      <c r="B157" s="30" t="s">
        <v>111</v>
      </c>
      <c r="C157" s="29">
        <v>78</v>
      </c>
      <c r="D157" s="29" t="s">
        <v>112</v>
      </c>
      <c r="E157" s="31" t="s">
        <v>121</v>
      </c>
      <c r="F157" s="29">
        <v>4586</v>
      </c>
      <c r="G157" s="29" t="s">
        <v>59</v>
      </c>
      <c r="H157" s="32">
        <v>46105</v>
      </c>
      <c r="I157" s="33">
        <v>46105</v>
      </c>
      <c r="J157" s="34" t="s">
        <v>99</v>
      </c>
      <c r="K157" s="35">
        <v>0.76111111111111107</v>
      </c>
      <c r="L157" s="35">
        <v>0.76388888888888884</v>
      </c>
      <c r="M157" s="36">
        <v>0.63611111111111107</v>
      </c>
      <c r="N157" s="35">
        <v>0.63888888888888884</v>
      </c>
      <c r="O157" s="37">
        <f>IF(N157&gt;M157,N157-M157,(N157+1)-M157)</f>
        <v>2.7777777777777679E-3</v>
      </c>
      <c r="P157" s="29" t="s">
        <v>122</v>
      </c>
      <c r="Q157" s="29" t="s">
        <v>123</v>
      </c>
      <c r="R157" s="29" t="s">
        <v>124</v>
      </c>
      <c r="S157" s="38" t="s">
        <v>49</v>
      </c>
      <c r="T157" s="39" t="s">
        <v>73</v>
      </c>
      <c r="U157" s="39" t="s">
        <v>59</v>
      </c>
      <c r="V157" s="38" t="s">
        <v>107</v>
      </c>
      <c r="W157" s="40" t="s">
        <v>59</v>
      </c>
      <c r="X157" s="13" t="s">
        <v>59</v>
      </c>
      <c r="Y157" s="13" t="s">
        <v>59</v>
      </c>
      <c r="Z157" s="13" t="s">
        <v>59</v>
      </c>
      <c r="AA157" s="13" t="s">
        <v>59</v>
      </c>
      <c r="AB157" s="41" t="s">
        <v>59</v>
      </c>
      <c r="AC157" s="16" t="s">
        <v>59</v>
      </c>
      <c r="AD157" s="42" t="s">
        <v>59</v>
      </c>
      <c r="AE157" s="42">
        <v>7.51</v>
      </c>
      <c r="AF157" s="42">
        <v>0.06</v>
      </c>
      <c r="AG157" s="43" t="s">
        <v>59</v>
      </c>
      <c r="AH157" s="43" t="s">
        <v>59</v>
      </c>
      <c r="AI157" s="43" t="s">
        <v>59</v>
      </c>
      <c r="AJ157" s="17" t="s">
        <v>59</v>
      </c>
      <c r="AK157" s="17" t="s">
        <v>59</v>
      </c>
      <c r="AL157" s="17">
        <v>1.2596512422111359</v>
      </c>
      <c r="AM157" s="17" t="s">
        <v>59</v>
      </c>
      <c r="AN157" s="17" t="s">
        <v>59</v>
      </c>
      <c r="AO157" s="44" t="s">
        <v>61</v>
      </c>
    </row>
    <row r="158" spans="1:41" ht="12" customHeight="1" x14ac:dyDescent="0.35">
      <c r="A158" s="29" t="s">
        <v>96</v>
      </c>
      <c r="B158" s="30" t="s">
        <v>138</v>
      </c>
      <c r="C158" s="29">
        <v>11</v>
      </c>
      <c r="D158" s="29" t="s">
        <v>139</v>
      </c>
      <c r="E158" s="31" t="s">
        <v>144</v>
      </c>
      <c r="F158" s="29">
        <v>1089</v>
      </c>
      <c r="G158" s="29" t="s">
        <v>59</v>
      </c>
      <c r="H158" s="32">
        <v>46103</v>
      </c>
      <c r="I158" s="33">
        <v>46103</v>
      </c>
      <c r="J158" s="34" t="s">
        <v>74</v>
      </c>
      <c r="K158" s="35">
        <v>0.69700231481481478</v>
      </c>
      <c r="L158" s="35">
        <v>0.83351851851851855</v>
      </c>
      <c r="M158" s="36">
        <v>0.78033564814814815</v>
      </c>
      <c r="N158" s="35">
        <v>0.91685185185185181</v>
      </c>
      <c r="O158" s="37">
        <f>IF(N158&gt;M158,N158-M158,(N158+1)-M158)</f>
        <v>0.13651620370370365</v>
      </c>
      <c r="P158" s="29" t="s">
        <v>142</v>
      </c>
      <c r="Q158" s="29" t="s">
        <v>145</v>
      </c>
      <c r="R158" s="29" t="s">
        <v>146</v>
      </c>
      <c r="S158" s="38" t="s">
        <v>46</v>
      </c>
      <c r="T158" s="39" t="s">
        <v>73</v>
      </c>
      <c r="U158" s="39" t="s">
        <v>59</v>
      </c>
      <c r="V158" s="38" t="s">
        <v>107</v>
      </c>
      <c r="W158" s="40" t="s">
        <v>59</v>
      </c>
      <c r="X158" s="13" t="s">
        <v>59</v>
      </c>
      <c r="Y158" s="13" t="s">
        <v>59</v>
      </c>
      <c r="Z158" s="13" t="s">
        <v>59</v>
      </c>
      <c r="AA158" s="13" t="s">
        <v>59</v>
      </c>
      <c r="AB158" s="41" t="s">
        <v>59</v>
      </c>
      <c r="AC158" s="16" t="s">
        <v>59</v>
      </c>
      <c r="AD158" s="42" t="s">
        <v>59</v>
      </c>
      <c r="AE158" s="42">
        <v>9.5</v>
      </c>
      <c r="AF158" s="42">
        <v>2.72</v>
      </c>
      <c r="AG158" s="43" t="s">
        <v>59</v>
      </c>
      <c r="AH158" s="43" t="s">
        <v>59</v>
      </c>
      <c r="AI158" s="43" t="s">
        <v>59</v>
      </c>
      <c r="AJ158" s="17" t="s">
        <v>59</v>
      </c>
      <c r="AK158" s="17" t="s">
        <v>59</v>
      </c>
      <c r="AL158" s="17">
        <v>1.2666666666666666</v>
      </c>
      <c r="AM158" s="17" t="s">
        <v>59</v>
      </c>
      <c r="AN158" s="17" t="s">
        <v>59</v>
      </c>
      <c r="AO158" s="44" t="s">
        <v>61</v>
      </c>
    </row>
    <row r="159" spans="1:41" ht="12" customHeight="1" x14ac:dyDescent="0.35">
      <c r="A159" s="29" t="s">
        <v>96</v>
      </c>
      <c r="B159" s="30" t="s">
        <v>212</v>
      </c>
      <c r="C159" s="29">
        <v>128</v>
      </c>
      <c r="D159" s="29" t="s">
        <v>213</v>
      </c>
      <c r="E159" s="31" t="s">
        <v>214</v>
      </c>
      <c r="F159" s="29">
        <v>1160</v>
      </c>
      <c r="G159" s="29" t="s">
        <v>59</v>
      </c>
      <c r="H159" s="32">
        <v>46101</v>
      </c>
      <c r="I159" s="33">
        <v>46102</v>
      </c>
      <c r="J159" s="34" t="s">
        <v>79</v>
      </c>
      <c r="K159" s="35">
        <v>0.97275462962962966</v>
      </c>
      <c r="L159" s="35">
        <v>0.99973379629629633</v>
      </c>
      <c r="M159" s="36">
        <v>1.4421296296296297E-2</v>
      </c>
      <c r="N159" s="35">
        <v>4.1400462962962965E-2</v>
      </c>
      <c r="O159" s="37">
        <f>IF(N159&gt;M159,N159-M159,(N159+1)-M159)</f>
        <v>2.6979166666666669E-2</v>
      </c>
      <c r="P159" s="29" t="s">
        <v>218</v>
      </c>
      <c r="Q159" s="29" t="s">
        <v>216</v>
      </c>
      <c r="R159" s="29" t="s">
        <v>219</v>
      </c>
      <c r="S159" s="38" t="s">
        <v>49</v>
      </c>
      <c r="T159" s="39" t="s">
        <v>73</v>
      </c>
      <c r="U159" s="39" t="s">
        <v>59</v>
      </c>
      <c r="V159" s="38" t="s">
        <v>100</v>
      </c>
      <c r="W159" s="40" t="s">
        <v>59</v>
      </c>
      <c r="X159" s="13" t="s">
        <v>59</v>
      </c>
      <c r="Y159" s="13" t="s">
        <v>59</v>
      </c>
      <c r="Z159" s="13" t="s">
        <v>59</v>
      </c>
      <c r="AA159" s="13" t="s">
        <v>59</v>
      </c>
      <c r="AB159" s="41" t="s">
        <v>59</v>
      </c>
      <c r="AC159" s="16" t="s">
        <v>59</v>
      </c>
      <c r="AD159" s="42" t="s">
        <v>59</v>
      </c>
      <c r="AE159" s="42">
        <v>5.5</v>
      </c>
      <c r="AF159" s="42">
        <v>0.42</v>
      </c>
      <c r="AG159" s="43" t="s">
        <v>59</v>
      </c>
      <c r="AH159" s="43" t="s">
        <v>59</v>
      </c>
      <c r="AI159" s="43" t="s">
        <v>59</v>
      </c>
      <c r="AJ159" s="17" t="s">
        <v>59</v>
      </c>
      <c r="AK159" s="17" t="s">
        <v>59</v>
      </c>
      <c r="AL159" s="17">
        <v>1.3763664122137405</v>
      </c>
      <c r="AM159" s="17" t="s">
        <v>59</v>
      </c>
      <c r="AN159" s="17" t="s">
        <v>59</v>
      </c>
      <c r="AO159" s="44" t="s">
        <v>61</v>
      </c>
    </row>
    <row r="160" spans="1:41" ht="12" customHeight="1" x14ac:dyDescent="0.35">
      <c r="A160" s="29" t="s">
        <v>96</v>
      </c>
      <c r="B160" s="30" t="s">
        <v>212</v>
      </c>
      <c r="C160" s="29">
        <v>128</v>
      </c>
      <c r="D160" s="29" t="s">
        <v>213</v>
      </c>
      <c r="E160" s="31" t="s">
        <v>214</v>
      </c>
      <c r="F160" s="29">
        <v>1160</v>
      </c>
      <c r="G160" s="29" t="s">
        <v>59</v>
      </c>
      <c r="H160" s="32">
        <v>46101</v>
      </c>
      <c r="I160" s="33">
        <v>46102</v>
      </c>
      <c r="J160" s="34" t="s">
        <v>79</v>
      </c>
      <c r="K160" s="35">
        <v>0.99974537037037037</v>
      </c>
      <c r="L160" s="35">
        <v>4.1655092592592591E-2</v>
      </c>
      <c r="M160" s="36">
        <v>4.1412037037037039E-2</v>
      </c>
      <c r="N160" s="35">
        <v>8.3321759259259262E-2</v>
      </c>
      <c r="O160" s="37">
        <f>IF(N160&gt;M160,N160-M160,(N160+1)-M160)</f>
        <v>4.1909722222222223E-2</v>
      </c>
      <c r="P160" s="29" t="s">
        <v>220</v>
      </c>
      <c r="Q160" s="29" t="s">
        <v>216</v>
      </c>
      <c r="R160" s="29" t="s">
        <v>221</v>
      </c>
      <c r="S160" s="38" t="s">
        <v>48</v>
      </c>
      <c r="T160" s="39" t="s">
        <v>73</v>
      </c>
      <c r="U160" s="39" t="s">
        <v>59</v>
      </c>
      <c r="V160" s="38" t="s">
        <v>100</v>
      </c>
      <c r="W160" s="40" t="s">
        <v>59</v>
      </c>
      <c r="X160" s="13" t="s">
        <v>59</v>
      </c>
      <c r="Y160" s="13" t="s">
        <v>59</v>
      </c>
      <c r="Z160" s="13" t="s">
        <v>59</v>
      </c>
      <c r="AA160" s="13" t="s">
        <v>59</v>
      </c>
      <c r="AB160" s="41" t="s">
        <v>59</v>
      </c>
      <c r="AC160" s="16" t="s">
        <v>59</v>
      </c>
      <c r="AD160" s="42" t="s">
        <v>59</v>
      </c>
      <c r="AE160" s="42">
        <v>6.9</v>
      </c>
      <c r="AF160" s="42">
        <v>0.67</v>
      </c>
      <c r="AG160" s="43" t="s">
        <v>59</v>
      </c>
      <c r="AH160" s="43" t="s">
        <v>59</v>
      </c>
      <c r="AI160" s="43" t="s">
        <v>59</v>
      </c>
      <c r="AJ160" s="17" t="s">
        <v>59</v>
      </c>
      <c r="AK160" s="17" t="s">
        <v>59</v>
      </c>
      <c r="AL160" s="17">
        <v>1.3763664122137405</v>
      </c>
      <c r="AM160" s="17" t="s">
        <v>59</v>
      </c>
      <c r="AN160" s="17" t="s">
        <v>59</v>
      </c>
      <c r="AO160" s="44" t="s">
        <v>61</v>
      </c>
    </row>
    <row r="161" spans="1:41" ht="12" customHeight="1" x14ac:dyDescent="0.35">
      <c r="A161" s="29" t="s">
        <v>96</v>
      </c>
      <c r="B161" s="30" t="s">
        <v>212</v>
      </c>
      <c r="C161" s="29">
        <v>128</v>
      </c>
      <c r="D161" s="29" t="s">
        <v>213</v>
      </c>
      <c r="E161" s="31" t="s">
        <v>214</v>
      </c>
      <c r="F161" s="29">
        <v>1160</v>
      </c>
      <c r="G161" s="29" t="s">
        <v>59</v>
      </c>
      <c r="H161" s="32">
        <v>46102</v>
      </c>
      <c r="I161" s="33">
        <v>46102</v>
      </c>
      <c r="J161" s="34" t="s">
        <v>71</v>
      </c>
      <c r="K161" s="35">
        <v>4.1666666666666664E-2</v>
      </c>
      <c r="L161" s="35">
        <v>7.346064814814815E-2</v>
      </c>
      <c r="M161" s="36">
        <v>8.3333333333333329E-2</v>
      </c>
      <c r="N161" s="35">
        <v>0.11512731481481482</v>
      </c>
      <c r="O161" s="37">
        <f>IF(N161&gt;M161,N161-M161,(N161+1)-M161)</f>
        <v>3.1793981481481493E-2</v>
      </c>
      <c r="P161" s="29" t="s">
        <v>220</v>
      </c>
      <c r="Q161" s="29" t="s">
        <v>216</v>
      </c>
      <c r="R161" s="29" t="s">
        <v>221</v>
      </c>
      <c r="S161" s="38" t="s">
        <v>49</v>
      </c>
      <c r="T161" s="39" t="s">
        <v>73</v>
      </c>
      <c r="U161" s="39" t="s">
        <v>59</v>
      </c>
      <c r="V161" s="38" t="s">
        <v>100</v>
      </c>
      <c r="W161" s="40" t="s">
        <v>59</v>
      </c>
      <c r="X161" s="13" t="s">
        <v>59</v>
      </c>
      <c r="Y161" s="13" t="s">
        <v>59</v>
      </c>
      <c r="Z161" s="13" t="s">
        <v>59</v>
      </c>
      <c r="AA161" s="13" t="s">
        <v>59</v>
      </c>
      <c r="AB161" s="41" t="s">
        <v>59</v>
      </c>
      <c r="AC161" s="16" t="s">
        <v>59</v>
      </c>
      <c r="AD161" s="42" t="s">
        <v>59</v>
      </c>
      <c r="AE161" s="42">
        <v>6.1</v>
      </c>
      <c r="AF161" s="42">
        <v>0.94</v>
      </c>
      <c r="AG161" s="43" t="s">
        <v>59</v>
      </c>
      <c r="AH161" s="43" t="s">
        <v>59</v>
      </c>
      <c r="AI161" s="43" t="s">
        <v>59</v>
      </c>
      <c r="AJ161" s="17" t="s">
        <v>59</v>
      </c>
      <c r="AK161" s="17" t="s">
        <v>59</v>
      </c>
      <c r="AL161" s="17">
        <v>1.3763664122137405</v>
      </c>
      <c r="AM161" s="17" t="s">
        <v>59</v>
      </c>
      <c r="AN161" s="17" t="s">
        <v>59</v>
      </c>
      <c r="AO161" s="44" t="s">
        <v>61</v>
      </c>
    </row>
    <row r="162" spans="1:41" ht="12" customHeight="1" x14ac:dyDescent="0.35">
      <c r="A162" s="29" t="s">
        <v>96</v>
      </c>
      <c r="B162" s="30" t="s">
        <v>212</v>
      </c>
      <c r="C162" s="29">
        <v>128</v>
      </c>
      <c r="D162" s="29" t="s">
        <v>213</v>
      </c>
      <c r="E162" s="31" t="s">
        <v>214</v>
      </c>
      <c r="F162" s="29">
        <v>1160</v>
      </c>
      <c r="G162" s="29" t="s">
        <v>59</v>
      </c>
      <c r="H162" s="32">
        <v>46102</v>
      </c>
      <c r="I162" s="33">
        <v>46102</v>
      </c>
      <c r="J162" s="34" t="s">
        <v>71</v>
      </c>
      <c r="K162" s="35">
        <v>7.3472222222222217E-2</v>
      </c>
      <c r="L162" s="35">
        <v>0.20587962962962963</v>
      </c>
      <c r="M162" s="36">
        <v>0.11513888888888889</v>
      </c>
      <c r="N162" s="35">
        <v>0.24754629629629629</v>
      </c>
      <c r="O162" s="37">
        <f>IF(N162&gt;M162,N162-M162,(N162+1)-M162)</f>
        <v>0.13240740740740742</v>
      </c>
      <c r="P162" s="29" t="s">
        <v>218</v>
      </c>
      <c r="Q162" s="29" t="s">
        <v>216</v>
      </c>
      <c r="R162" s="29" t="s">
        <v>219</v>
      </c>
      <c r="S162" s="38" t="s">
        <v>48</v>
      </c>
      <c r="T162" s="39" t="s">
        <v>73</v>
      </c>
      <c r="U162" s="39" t="s">
        <v>59</v>
      </c>
      <c r="V162" s="38" t="s">
        <v>100</v>
      </c>
      <c r="W162" s="40" t="s">
        <v>59</v>
      </c>
      <c r="X162" s="13" t="s">
        <v>59</v>
      </c>
      <c r="Y162" s="13" t="s">
        <v>59</v>
      </c>
      <c r="Z162" s="13" t="s">
        <v>59</v>
      </c>
      <c r="AA162" s="13" t="s">
        <v>59</v>
      </c>
      <c r="AB162" s="41" t="s">
        <v>59</v>
      </c>
      <c r="AC162" s="16" t="s">
        <v>59</v>
      </c>
      <c r="AD162" s="42" t="s">
        <v>59</v>
      </c>
      <c r="AE162" s="42">
        <v>3.1</v>
      </c>
      <c r="AF162" s="42">
        <v>0.67</v>
      </c>
      <c r="AG162" s="43" t="s">
        <v>59</v>
      </c>
      <c r="AH162" s="43" t="s">
        <v>59</v>
      </c>
      <c r="AI162" s="43" t="s">
        <v>59</v>
      </c>
      <c r="AJ162" s="17" t="s">
        <v>59</v>
      </c>
      <c r="AK162" s="17" t="s">
        <v>59</v>
      </c>
      <c r="AL162" s="17">
        <v>1.3763664122137405</v>
      </c>
      <c r="AM162" s="17" t="s">
        <v>59</v>
      </c>
      <c r="AN162" s="17" t="s">
        <v>59</v>
      </c>
      <c r="AO162" s="44" t="s">
        <v>61</v>
      </c>
    </row>
    <row r="163" spans="1:41" ht="12" customHeight="1" x14ac:dyDescent="0.35">
      <c r="A163" s="29" t="s">
        <v>96</v>
      </c>
      <c r="B163" s="30" t="s">
        <v>212</v>
      </c>
      <c r="C163" s="29">
        <v>128</v>
      </c>
      <c r="D163" s="29" t="s">
        <v>213</v>
      </c>
      <c r="E163" s="31" t="s">
        <v>214</v>
      </c>
      <c r="F163" s="29">
        <v>1160</v>
      </c>
      <c r="G163" s="29" t="s">
        <v>59</v>
      </c>
      <c r="H163" s="32">
        <v>46102</v>
      </c>
      <c r="I163" s="33">
        <v>46103</v>
      </c>
      <c r="J163" s="34" t="s">
        <v>71</v>
      </c>
      <c r="K163" s="35">
        <v>0.9810416666666667</v>
      </c>
      <c r="L163" s="35">
        <v>4.1655092592592591E-2</v>
      </c>
      <c r="M163" s="36">
        <v>2.2708333333333334E-2</v>
      </c>
      <c r="N163" s="35">
        <v>8.3321759259259262E-2</v>
      </c>
      <c r="O163" s="37">
        <f>IF(N163&gt;M163,N163-M163,(N163+1)-M163)</f>
        <v>6.0613425925925932E-2</v>
      </c>
      <c r="P163" s="29" t="s">
        <v>218</v>
      </c>
      <c r="Q163" s="29" t="s">
        <v>216</v>
      </c>
      <c r="R163" s="29" t="s">
        <v>219</v>
      </c>
      <c r="S163" s="38" t="s">
        <v>48</v>
      </c>
      <c r="T163" s="39" t="s">
        <v>73</v>
      </c>
      <c r="U163" s="39" t="s">
        <v>59</v>
      </c>
      <c r="V163" s="38" t="s">
        <v>104</v>
      </c>
      <c r="W163" s="40" t="s">
        <v>59</v>
      </c>
      <c r="X163" s="13" t="s">
        <v>59</v>
      </c>
      <c r="Y163" s="13" t="s">
        <v>59</v>
      </c>
      <c r="Z163" s="13" t="s">
        <v>59</v>
      </c>
      <c r="AA163" s="13" t="s">
        <v>59</v>
      </c>
      <c r="AB163" s="41" t="s">
        <v>59</v>
      </c>
      <c r="AC163" s="16" t="s">
        <v>59</v>
      </c>
      <c r="AD163" s="42" t="s">
        <v>59</v>
      </c>
      <c r="AE163" s="42">
        <v>4</v>
      </c>
      <c r="AF163" s="42">
        <v>0.35</v>
      </c>
      <c r="AG163" s="43" t="s">
        <v>59</v>
      </c>
      <c r="AH163" s="43" t="s">
        <v>59</v>
      </c>
      <c r="AI163" s="43" t="s">
        <v>59</v>
      </c>
      <c r="AJ163" s="17" t="s">
        <v>59</v>
      </c>
      <c r="AK163" s="17" t="s">
        <v>59</v>
      </c>
      <c r="AL163" s="17">
        <v>1.3763664122137405</v>
      </c>
      <c r="AM163" s="17" t="s">
        <v>59</v>
      </c>
      <c r="AN163" s="17" t="s">
        <v>59</v>
      </c>
      <c r="AO163" s="44" t="s">
        <v>61</v>
      </c>
    </row>
    <row r="164" spans="1:41" ht="12" customHeight="1" x14ac:dyDescent="0.35">
      <c r="A164" s="29" t="s">
        <v>65</v>
      </c>
      <c r="B164" s="30" t="s">
        <v>60</v>
      </c>
      <c r="C164" s="29">
        <v>39</v>
      </c>
      <c r="D164" s="29" t="s">
        <v>66</v>
      </c>
      <c r="E164" s="31" t="s">
        <v>370</v>
      </c>
      <c r="F164" s="29">
        <v>33341</v>
      </c>
      <c r="G164" s="29" t="s">
        <v>59</v>
      </c>
      <c r="H164" s="32">
        <v>46102</v>
      </c>
      <c r="I164" s="33">
        <v>46102</v>
      </c>
      <c r="J164" s="34" t="s">
        <v>71</v>
      </c>
      <c r="K164" s="35">
        <v>0.20831018518518518</v>
      </c>
      <c r="L164" s="35">
        <v>0.29574074074074075</v>
      </c>
      <c r="M164" s="36">
        <v>0.2916435185185185</v>
      </c>
      <c r="N164" s="35">
        <v>0.37907407407407406</v>
      </c>
      <c r="O164" s="37">
        <f>IF(N164&gt;M164,N164-M164,(N164+1)-M164)</f>
        <v>8.7430555555555567E-2</v>
      </c>
      <c r="P164" s="29" t="s">
        <v>225</v>
      </c>
      <c r="Q164" s="29" t="s">
        <v>59</v>
      </c>
      <c r="R164" s="29" t="s">
        <v>225</v>
      </c>
      <c r="S164" s="38" t="s">
        <v>48</v>
      </c>
      <c r="T164" s="39" t="s">
        <v>73</v>
      </c>
      <c r="U164" s="39" t="s">
        <v>59</v>
      </c>
      <c r="V164" s="38" t="s">
        <v>100</v>
      </c>
      <c r="W164" s="40" t="s">
        <v>59</v>
      </c>
      <c r="X164" s="13" t="s">
        <v>59</v>
      </c>
      <c r="Y164" s="13" t="s">
        <v>59</v>
      </c>
      <c r="Z164" s="13" t="s">
        <v>59</v>
      </c>
      <c r="AA164" s="13" t="s">
        <v>59</v>
      </c>
      <c r="AB164" s="41" t="s">
        <v>59</v>
      </c>
      <c r="AC164" s="16" t="s">
        <v>59</v>
      </c>
      <c r="AD164" s="42" t="s">
        <v>59</v>
      </c>
      <c r="AE164" s="42">
        <v>2.1</v>
      </c>
      <c r="AF164" s="42">
        <v>0.04</v>
      </c>
      <c r="AG164" s="43" t="s">
        <v>59</v>
      </c>
      <c r="AH164" s="43" t="s">
        <v>59</v>
      </c>
      <c r="AI164" s="43" t="s">
        <v>59</v>
      </c>
      <c r="AJ164" s="17" t="s">
        <v>59</v>
      </c>
      <c r="AK164" s="17" t="s">
        <v>59</v>
      </c>
      <c r="AL164" s="17">
        <v>1.4</v>
      </c>
      <c r="AM164" s="17" t="s">
        <v>59</v>
      </c>
      <c r="AN164" s="17" t="s">
        <v>59</v>
      </c>
      <c r="AO164" s="44" t="s">
        <v>61</v>
      </c>
    </row>
    <row r="165" spans="1:41" ht="12" customHeight="1" x14ac:dyDescent="0.35">
      <c r="A165" s="29" t="s">
        <v>65</v>
      </c>
      <c r="B165" s="30" t="s">
        <v>60</v>
      </c>
      <c r="C165" s="29">
        <v>39</v>
      </c>
      <c r="D165" s="29" t="s">
        <v>66</v>
      </c>
      <c r="E165" s="31" t="s">
        <v>370</v>
      </c>
      <c r="F165" s="29">
        <v>33341</v>
      </c>
      <c r="G165" s="29" t="s">
        <v>59</v>
      </c>
      <c r="H165" s="32">
        <v>46103</v>
      </c>
      <c r="I165" s="33">
        <v>46103</v>
      </c>
      <c r="J165" s="34" t="s">
        <v>74</v>
      </c>
      <c r="K165" s="35">
        <v>0.26416666666666666</v>
      </c>
      <c r="L165" s="35">
        <v>0.27118055555555554</v>
      </c>
      <c r="M165" s="36">
        <v>0.34749999999999998</v>
      </c>
      <c r="N165" s="35">
        <v>0.35451388888888891</v>
      </c>
      <c r="O165" s="37">
        <f>IF(N165&gt;M165,N165-M165,(N165+1)-M165)</f>
        <v>7.0138888888889306E-3</v>
      </c>
      <c r="P165" s="29" t="s">
        <v>225</v>
      </c>
      <c r="Q165" s="29" t="s">
        <v>59</v>
      </c>
      <c r="R165" s="29" t="s">
        <v>225</v>
      </c>
      <c r="S165" s="38" t="s">
        <v>49</v>
      </c>
      <c r="T165" s="39" t="s">
        <v>73</v>
      </c>
      <c r="U165" s="39" t="s">
        <v>59</v>
      </c>
      <c r="V165" s="38" t="s">
        <v>104</v>
      </c>
      <c r="W165" s="40" t="s">
        <v>59</v>
      </c>
      <c r="X165" s="13" t="s">
        <v>59</v>
      </c>
      <c r="Y165" s="13" t="s">
        <v>59</v>
      </c>
      <c r="Z165" s="13" t="s">
        <v>59</v>
      </c>
      <c r="AA165" s="13" t="s">
        <v>59</v>
      </c>
      <c r="AB165" s="41" t="s">
        <v>59</v>
      </c>
      <c r="AC165" s="16" t="s">
        <v>59</v>
      </c>
      <c r="AD165" s="42" t="s">
        <v>59</v>
      </c>
      <c r="AE165" s="42">
        <v>2.1</v>
      </c>
      <c r="AF165" s="42">
        <v>0.03</v>
      </c>
      <c r="AG165" s="43" t="s">
        <v>59</v>
      </c>
      <c r="AH165" s="43" t="s">
        <v>59</v>
      </c>
      <c r="AI165" s="43" t="s">
        <v>59</v>
      </c>
      <c r="AJ165" s="17" t="s">
        <v>59</v>
      </c>
      <c r="AK165" s="17" t="s">
        <v>59</v>
      </c>
      <c r="AL165" s="17">
        <v>1.4</v>
      </c>
      <c r="AM165" s="17" t="s">
        <v>59</v>
      </c>
      <c r="AN165" s="17" t="s">
        <v>59</v>
      </c>
      <c r="AO165" s="44" t="s">
        <v>61</v>
      </c>
    </row>
    <row r="166" spans="1:41" ht="12" customHeight="1" x14ac:dyDescent="0.35">
      <c r="A166" s="29" t="s">
        <v>68</v>
      </c>
      <c r="B166" s="30" t="s">
        <v>111</v>
      </c>
      <c r="C166" s="29">
        <v>78</v>
      </c>
      <c r="D166" s="29" t="s">
        <v>112</v>
      </c>
      <c r="E166" s="31" t="s">
        <v>121</v>
      </c>
      <c r="F166" s="29">
        <v>4586</v>
      </c>
      <c r="G166" s="29" t="s">
        <v>59</v>
      </c>
      <c r="H166" s="32">
        <v>46103</v>
      </c>
      <c r="I166" s="33">
        <v>46103</v>
      </c>
      <c r="J166" s="34" t="s">
        <v>74</v>
      </c>
      <c r="K166" s="35">
        <v>0.89375000000000004</v>
      </c>
      <c r="L166" s="35">
        <v>0.89652777777777781</v>
      </c>
      <c r="M166" s="36">
        <v>0.76875000000000004</v>
      </c>
      <c r="N166" s="35">
        <v>0.77152777777777781</v>
      </c>
      <c r="O166" s="37">
        <f>IF(N166&gt;M166,N166-M166,(N166+1)-M166)</f>
        <v>2.7777777777777679E-3</v>
      </c>
      <c r="P166" s="29" t="s">
        <v>122</v>
      </c>
      <c r="Q166" s="29" t="s">
        <v>125</v>
      </c>
      <c r="R166" s="29" t="s">
        <v>126</v>
      </c>
      <c r="S166" s="38" t="s">
        <v>49</v>
      </c>
      <c r="T166" s="39" t="s">
        <v>73</v>
      </c>
      <c r="U166" s="39" t="s">
        <v>59</v>
      </c>
      <c r="V166" s="38" t="s">
        <v>107</v>
      </c>
      <c r="W166" s="40" t="s">
        <v>59</v>
      </c>
      <c r="X166" s="13" t="s">
        <v>59</v>
      </c>
      <c r="Y166" s="13" t="s">
        <v>59</v>
      </c>
      <c r="Z166" s="13" t="s">
        <v>59</v>
      </c>
      <c r="AA166" s="13" t="s">
        <v>59</v>
      </c>
      <c r="AB166" s="41" t="s">
        <v>59</v>
      </c>
      <c r="AC166" s="16" t="s">
        <v>59</v>
      </c>
      <c r="AD166" s="42" t="s">
        <v>59</v>
      </c>
      <c r="AE166" s="42">
        <v>8.68</v>
      </c>
      <c r="AF166" s="42">
        <v>0.05</v>
      </c>
      <c r="AG166" s="43" t="s">
        <v>59</v>
      </c>
      <c r="AH166" s="43" t="s">
        <v>59</v>
      </c>
      <c r="AI166" s="43" t="s">
        <v>59</v>
      </c>
      <c r="AJ166" s="17" t="s">
        <v>59</v>
      </c>
      <c r="AK166" s="17" t="s">
        <v>59</v>
      </c>
      <c r="AL166" s="17">
        <v>1.4558951774158002</v>
      </c>
      <c r="AM166" s="17" t="s">
        <v>59</v>
      </c>
      <c r="AN166" s="17" t="s">
        <v>59</v>
      </c>
      <c r="AO166" s="44" t="s">
        <v>61</v>
      </c>
    </row>
    <row r="167" spans="1:41" ht="12" customHeight="1" x14ac:dyDescent="0.35">
      <c r="A167" s="29" t="s">
        <v>68</v>
      </c>
      <c r="B167" s="30" t="s">
        <v>111</v>
      </c>
      <c r="C167" s="29">
        <v>78</v>
      </c>
      <c r="D167" s="29" t="s">
        <v>112</v>
      </c>
      <c r="E167" s="31" t="s">
        <v>113</v>
      </c>
      <c r="F167" s="29">
        <v>2874</v>
      </c>
      <c r="G167" s="29" t="s">
        <v>59</v>
      </c>
      <c r="H167" s="32">
        <v>46101</v>
      </c>
      <c r="I167" s="33">
        <v>46101</v>
      </c>
      <c r="J167" s="34" t="s">
        <v>79</v>
      </c>
      <c r="K167" s="35">
        <v>0.37916666666666665</v>
      </c>
      <c r="L167" s="35">
        <v>0.42152777777777778</v>
      </c>
      <c r="M167" s="36">
        <v>0.25416666666666665</v>
      </c>
      <c r="N167" s="35">
        <v>0.29652777777777778</v>
      </c>
      <c r="O167" s="37">
        <f>IF(N167&gt;M167,N167-M167,(N167+1)-M167)</f>
        <v>4.2361111111111127E-2</v>
      </c>
      <c r="P167" s="29" t="s">
        <v>114</v>
      </c>
      <c r="Q167" s="29" t="s">
        <v>115</v>
      </c>
      <c r="R167" s="29" t="s">
        <v>116</v>
      </c>
      <c r="S167" s="38" t="s">
        <v>46</v>
      </c>
      <c r="T167" s="39" t="s">
        <v>73</v>
      </c>
      <c r="U167" s="39" t="s">
        <v>59</v>
      </c>
      <c r="V167" s="38" t="s">
        <v>100</v>
      </c>
      <c r="W167" s="40" t="s">
        <v>59</v>
      </c>
      <c r="X167" s="13" t="s">
        <v>59</v>
      </c>
      <c r="Y167" s="13" t="s">
        <v>59</v>
      </c>
      <c r="Z167" s="13" t="s">
        <v>59</v>
      </c>
      <c r="AA167" s="13" t="s">
        <v>59</v>
      </c>
      <c r="AB167" s="41" t="s">
        <v>59</v>
      </c>
      <c r="AC167" s="16" t="s">
        <v>59</v>
      </c>
      <c r="AD167" s="42" t="s">
        <v>59</v>
      </c>
      <c r="AE167" s="42">
        <v>0.06</v>
      </c>
      <c r="AF167" s="42">
        <v>0</v>
      </c>
      <c r="AG167" s="43" t="s">
        <v>59</v>
      </c>
      <c r="AH167" s="43" t="s">
        <v>59</v>
      </c>
      <c r="AI167" s="43" t="s">
        <v>59</v>
      </c>
      <c r="AJ167" s="17" t="s">
        <v>59</v>
      </c>
      <c r="AK167" s="17" t="s">
        <v>59</v>
      </c>
      <c r="AL167" s="17">
        <v>1.5036488549618321</v>
      </c>
      <c r="AM167" s="17" t="s">
        <v>59</v>
      </c>
      <c r="AN167" s="17" t="s">
        <v>59</v>
      </c>
      <c r="AO167" s="44" t="s">
        <v>61</v>
      </c>
    </row>
    <row r="168" spans="1:41" ht="12" customHeight="1" x14ac:dyDescent="0.35">
      <c r="A168" s="29" t="s">
        <v>68</v>
      </c>
      <c r="B168" s="30" t="s">
        <v>111</v>
      </c>
      <c r="C168" s="29">
        <v>78</v>
      </c>
      <c r="D168" s="29" t="s">
        <v>112</v>
      </c>
      <c r="E168" s="31" t="s">
        <v>113</v>
      </c>
      <c r="F168" s="29">
        <v>2874</v>
      </c>
      <c r="G168" s="29" t="s">
        <v>59</v>
      </c>
      <c r="H168" s="32">
        <v>46101</v>
      </c>
      <c r="I168" s="33">
        <v>46101</v>
      </c>
      <c r="J168" s="34" t="s">
        <v>79</v>
      </c>
      <c r="K168" s="35">
        <v>0.42708333333333331</v>
      </c>
      <c r="L168" s="35">
        <v>0.43194444444444446</v>
      </c>
      <c r="M168" s="36">
        <v>0.30208333333333331</v>
      </c>
      <c r="N168" s="35">
        <v>0.30694444444444446</v>
      </c>
      <c r="O168" s="37">
        <f>IF(N168&gt;M168,N168-M168,(N168+1)-M168)</f>
        <v>4.8611111111111494E-3</v>
      </c>
      <c r="P168" s="29" t="s">
        <v>114</v>
      </c>
      <c r="Q168" s="29" t="s">
        <v>117</v>
      </c>
      <c r="R168" s="29" t="s">
        <v>118</v>
      </c>
      <c r="S168" s="38" t="s">
        <v>46</v>
      </c>
      <c r="T168" s="39" t="s">
        <v>73</v>
      </c>
      <c r="U168" s="39" t="s">
        <v>59</v>
      </c>
      <c r="V168" s="38" t="s">
        <v>100</v>
      </c>
      <c r="W168" s="40" t="s">
        <v>59</v>
      </c>
      <c r="X168" s="13" t="s">
        <v>59</v>
      </c>
      <c r="Y168" s="13" t="s">
        <v>59</v>
      </c>
      <c r="Z168" s="13" t="s">
        <v>59</v>
      </c>
      <c r="AA168" s="13" t="s">
        <v>59</v>
      </c>
      <c r="AB168" s="41" t="s">
        <v>59</v>
      </c>
      <c r="AC168" s="16" t="s">
        <v>59</v>
      </c>
      <c r="AD168" s="42" t="s">
        <v>59</v>
      </c>
      <c r="AE168" s="42">
        <v>0</v>
      </c>
      <c r="AF168" s="42">
        <v>0</v>
      </c>
      <c r="AG168" s="43" t="s">
        <v>59</v>
      </c>
      <c r="AH168" s="43" t="s">
        <v>59</v>
      </c>
      <c r="AI168" s="43" t="s">
        <v>59</v>
      </c>
      <c r="AJ168" s="17" t="s">
        <v>59</v>
      </c>
      <c r="AK168" s="17" t="s">
        <v>59</v>
      </c>
      <c r="AL168" s="17">
        <v>1.5036488549618321</v>
      </c>
      <c r="AM168" s="17" t="s">
        <v>59</v>
      </c>
      <c r="AN168" s="17" t="s">
        <v>59</v>
      </c>
      <c r="AO168" s="44" t="s">
        <v>61</v>
      </c>
    </row>
    <row r="169" spans="1:41" ht="12" customHeight="1" x14ac:dyDescent="0.35">
      <c r="A169" s="29" t="s">
        <v>68</v>
      </c>
      <c r="B169" s="30" t="s">
        <v>111</v>
      </c>
      <c r="C169" s="29">
        <v>78</v>
      </c>
      <c r="D169" s="29" t="s">
        <v>112</v>
      </c>
      <c r="E169" s="31" t="s">
        <v>113</v>
      </c>
      <c r="F169" s="29">
        <v>2874</v>
      </c>
      <c r="G169" s="29" t="s">
        <v>59</v>
      </c>
      <c r="H169" s="32">
        <v>46101</v>
      </c>
      <c r="I169" s="33">
        <v>46101</v>
      </c>
      <c r="J169" s="34" t="s">
        <v>79</v>
      </c>
      <c r="K169" s="35">
        <v>0.43472222222222223</v>
      </c>
      <c r="L169" s="35">
        <v>0.45347222222222222</v>
      </c>
      <c r="M169" s="36">
        <v>0.30972222222222223</v>
      </c>
      <c r="N169" s="35">
        <v>0.32847222222222222</v>
      </c>
      <c r="O169" s="37">
        <f>IF(N169&gt;M169,N169-M169,(N169+1)-M169)</f>
        <v>1.8749999999999989E-2</v>
      </c>
      <c r="P169" s="29" t="s">
        <v>114</v>
      </c>
      <c r="Q169" s="29" t="s">
        <v>117</v>
      </c>
      <c r="R169" s="29" t="s">
        <v>118</v>
      </c>
      <c r="S169" s="38" t="s">
        <v>46</v>
      </c>
      <c r="T169" s="39" t="s">
        <v>73</v>
      </c>
      <c r="U169" s="39" t="s">
        <v>59</v>
      </c>
      <c r="V169" s="38" t="s">
        <v>100</v>
      </c>
      <c r="W169" s="40" t="s">
        <v>59</v>
      </c>
      <c r="X169" s="13" t="s">
        <v>59</v>
      </c>
      <c r="Y169" s="13" t="s">
        <v>59</v>
      </c>
      <c r="Z169" s="13" t="s">
        <v>59</v>
      </c>
      <c r="AA169" s="13" t="s">
        <v>59</v>
      </c>
      <c r="AB169" s="41" t="s">
        <v>59</v>
      </c>
      <c r="AC169" s="16" t="s">
        <v>59</v>
      </c>
      <c r="AD169" s="42" t="s">
        <v>59</v>
      </c>
      <c r="AE169" s="42">
        <v>0</v>
      </c>
      <c r="AF169" s="42">
        <v>0</v>
      </c>
      <c r="AG169" s="43" t="s">
        <v>59</v>
      </c>
      <c r="AH169" s="43" t="s">
        <v>59</v>
      </c>
      <c r="AI169" s="43" t="s">
        <v>59</v>
      </c>
      <c r="AJ169" s="17" t="s">
        <v>59</v>
      </c>
      <c r="AK169" s="17" t="s">
        <v>59</v>
      </c>
      <c r="AL169" s="17">
        <v>1.5036488549618321</v>
      </c>
      <c r="AM169" s="17" t="s">
        <v>59</v>
      </c>
      <c r="AN169" s="17" t="s">
        <v>59</v>
      </c>
      <c r="AO169" s="44" t="s">
        <v>61</v>
      </c>
    </row>
    <row r="170" spans="1:41" ht="12" customHeight="1" x14ac:dyDescent="0.35">
      <c r="A170" s="29" t="s">
        <v>68</v>
      </c>
      <c r="B170" s="30" t="s">
        <v>111</v>
      </c>
      <c r="C170" s="29">
        <v>78</v>
      </c>
      <c r="D170" s="29" t="s">
        <v>112</v>
      </c>
      <c r="E170" s="31" t="s">
        <v>113</v>
      </c>
      <c r="F170" s="29">
        <v>2874</v>
      </c>
      <c r="G170" s="29" t="s">
        <v>59</v>
      </c>
      <c r="H170" s="32">
        <v>46101</v>
      </c>
      <c r="I170" s="33">
        <v>46101</v>
      </c>
      <c r="J170" s="34" t="s">
        <v>79</v>
      </c>
      <c r="K170" s="35">
        <v>0.4548611111111111</v>
      </c>
      <c r="L170" s="35">
        <v>0.46180555555555558</v>
      </c>
      <c r="M170" s="36">
        <v>0.3298611111111111</v>
      </c>
      <c r="N170" s="35">
        <v>0.33680555555555558</v>
      </c>
      <c r="O170" s="37">
        <f>IF(N170&gt;M170,N170-M170,(N170+1)-M170)</f>
        <v>6.9444444444444753E-3</v>
      </c>
      <c r="P170" s="29" t="s">
        <v>114</v>
      </c>
      <c r="Q170" s="29" t="s">
        <v>115</v>
      </c>
      <c r="R170" s="29" t="s">
        <v>116</v>
      </c>
      <c r="S170" s="38" t="s">
        <v>46</v>
      </c>
      <c r="T170" s="39" t="s">
        <v>73</v>
      </c>
      <c r="U170" s="39" t="s">
        <v>59</v>
      </c>
      <c r="V170" s="38" t="s">
        <v>100</v>
      </c>
      <c r="W170" s="40" t="s">
        <v>59</v>
      </c>
      <c r="X170" s="13" t="s">
        <v>59</v>
      </c>
      <c r="Y170" s="13" t="s">
        <v>59</v>
      </c>
      <c r="Z170" s="13" t="s">
        <v>59</v>
      </c>
      <c r="AA170" s="13" t="s">
        <v>59</v>
      </c>
      <c r="AB170" s="41" t="s">
        <v>59</v>
      </c>
      <c r="AC170" s="16" t="s">
        <v>59</v>
      </c>
      <c r="AD170" s="42" t="s">
        <v>59</v>
      </c>
      <c r="AE170" s="42">
        <v>1.3</v>
      </c>
      <c r="AF170" s="42">
        <v>0.02</v>
      </c>
      <c r="AG170" s="43" t="s">
        <v>59</v>
      </c>
      <c r="AH170" s="43" t="s">
        <v>59</v>
      </c>
      <c r="AI170" s="43" t="s">
        <v>59</v>
      </c>
      <c r="AJ170" s="17" t="s">
        <v>59</v>
      </c>
      <c r="AK170" s="17" t="s">
        <v>59</v>
      </c>
      <c r="AL170" s="17">
        <v>1.5036488549618321</v>
      </c>
      <c r="AM170" s="17" t="s">
        <v>59</v>
      </c>
      <c r="AN170" s="17" t="s">
        <v>59</v>
      </c>
      <c r="AO170" s="44" t="s">
        <v>61</v>
      </c>
    </row>
    <row r="171" spans="1:41" ht="12" customHeight="1" x14ac:dyDescent="0.35">
      <c r="A171" s="29" t="s">
        <v>68</v>
      </c>
      <c r="B171" s="30" t="s">
        <v>111</v>
      </c>
      <c r="C171" s="29">
        <v>78</v>
      </c>
      <c r="D171" s="29" t="s">
        <v>112</v>
      </c>
      <c r="E171" s="31" t="s">
        <v>113</v>
      </c>
      <c r="F171" s="29">
        <v>2874</v>
      </c>
      <c r="G171" s="29" t="s">
        <v>59</v>
      </c>
      <c r="H171" s="32">
        <v>46101</v>
      </c>
      <c r="I171" s="33">
        <v>46101</v>
      </c>
      <c r="J171" s="34" t="s">
        <v>79</v>
      </c>
      <c r="K171" s="35">
        <v>0.4826388888888889</v>
      </c>
      <c r="L171" s="35">
        <v>0.5131944444444444</v>
      </c>
      <c r="M171" s="36">
        <v>0.3576388888888889</v>
      </c>
      <c r="N171" s="35">
        <v>0.38819444444444445</v>
      </c>
      <c r="O171" s="37">
        <f>IF(N171&gt;M171,N171-M171,(N171+1)-M171)</f>
        <v>3.0555555555555558E-2</v>
      </c>
      <c r="P171" s="29" t="s">
        <v>114</v>
      </c>
      <c r="Q171" s="29" t="s">
        <v>117</v>
      </c>
      <c r="R171" s="29" t="s">
        <v>118</v>
      </c>
      <c r="S171" s="38" t="s">
        <v>46</v>
      </c>
      <c r="T171" s="39" t="s">
        <v>73</v>
      </c>
      <c r="U171" s="39" t="s">
        <v>59</v>
      </c>
      <c r="V171" s="38" t="s">
        <v>100</v>
      </c>
      <c r="W171" s="40" t="s">
        <v>59</v>
      </c>
      <c r="X171" s="13" t="s">
        <v>59</v>
      </c>
      <c r="Y171" s="13" t="s">
        <v>59</v>
      </c>
      <c r="Z171" s="13" t="s">
        <v>59</v>
      </c>
      <c r="AA171" s="13" t="s">
        <v>59</v>
      </c>
      <c r="AB171" s="41" t="s">
        <v>59</v>
      </c>
      <c r="AC171" s="16" t="s">
        <v>59</v>
      </c>
      <c r="AD171" s="42" t="s">
        <v>59</v>
      </c>
      <c r="AE171" s="42">
        <v>0.8</v>
      </c>
      <c r="AF171" s="42">
        <v>0.01</v>
      </c>
      <c r="AG171" s="43" t="s">
        <v>59</v>
      </c>
      <c r="AH171" s="43" t="s">
        <v>59</v>
      </c>
      <c r="AI171" s="43" t="s">
        <v>59</v>
      </c>
      <c r="AJ171" s="17" t="s">
        <v>59</v>
      </c>
      <c r="AK171" s="17" t="s">
        <v>59</v>
      </c>
      <c r="AL171" s="17">
        <v>1.5036488549618321</v>
      </c>
      <c r="AM171" s="17" t="s">
        <v>59</v>
      </c>
      <c r="AN171" s="17" t="s">
        <v>59</v>
      </c>
      <c r="AO171" s="44" t="s">
        <v>61</v>
      </c>
    </row>
    <row r="172" spans="1:41" ht="12" customHeight="1" x14ac:dyDescent="0.35">
      <c r="A172" s="29" t="s">
        <v>96</v>
      </c>
      <c r="B172" s="30" t="s">
        <v>200</v>
      </c>
      <c r="C172" s="29">
        <v>26</v>
      </c>
      <c r="D172" s="29" t="s">
        <v>201</v>
      </c>
      <c r="E172" s="31" t="s">
        <v>205</v>
      </c>
      <c r="F172" s="29">
        <v>2724</v>
      </c>
      <c r="G172" s="29" t="s">
        <v>59</v>
      </c>
      <c r="H172" s="32">
        <v>46102</v>
      </c>
      <c r="I172" s="33">
        <v>46102</v>
      </c>
      <c r="J172" s="34" t="s">
        <v>71</v>
      </c>
      <c r="K172" s="35">
        <v>0.30935185185185188</v>
      </c>
      <c r="L172" s="35">
        <v>0.35787037037037039</v>
      </c>
      <c r="M172" s="36">
        <v>0.35101851851851851</v>
      </c>
      <c r="N172" s="35">
        <v>0.39953703703703702</v>
      </c>
      <c r="O172" s="37">
        <f>IF(N172&gt;M172,N172-M172,(N172+1)-M172)</f>
        <v>4.8518518518518516E-2</v>
      </c>
      <c r="P172" s="29" t="s">
        <v>203</v>
      </c>
      <c r="Q172" s="29" t="s">
        <v>136</v>
      </c>
      <c r="R172" s="29" t="s">
        <v>204</v>
      </c>
      <c r="S172" s="38" t="s">
        <v>48</v>
      </c>
      <c r="T172" s="39" t="s">
        <v>73</v>
      </c>
      <c r="U172" s="39" t="s">
        <v>59</v>
      </c>
      <c r="V172" s="38" t="s">
        <v>100</v>
      </c>
      <c r="W172" s="40" t="s">
        <v>59</v>
      </c>
      <c r="X172" s="13" t="s">
        <v>59</v>
      </c>
      <c r="Y172" s="13" t="s">
        <v>59</v>
      </c>
      <c r="Z172" s="13" t="s">
        <v>59</v>
      </c>
      <c r="AA172" s="13" t="s">
        <v>59</v>
      </c>
      <c r="AB172" s="41" t="s">
        <v>59</v>
      </c>
      <c r="AC172" s="16" t="s">
        <v>59</v>
      </c>
      <c r="AD172" s="42" t="s">
        <v>59</v>
      </c>
      <c r="AE172" s="42">
        <v>40.5</v>
      </c>
      <c r="AF172" s="42">
        <v>0.82</v>
      </c>
      <c r="AG172" s="43" t="s">
        <v>59</v>
      </c>
      <c r="AH172" s="43" t="s">
        <v>59</v>
      </c>
      <c r="AI172" s="43" t="s">
        <v>59</v>
      </c>
      <c r="AJ172" s="17" t="s">
        <v>59</v>
      </c>
      <c r="AK172" s="17" t="s">
        <v>59</v>
      </c>
      <c r="AL172" s="17">
        <v>1.5140715044931876</v>
      </c>
      <c r="AM172" s="17" t="s">
        <v>59</v>
      </c>
      <c r="AN172" s="17" t="s">
        <v>59</v>
      </c>
      <c r="AO172" s="44" t="s">
        <v>61</v>
      </c>
    </row>
    <row r="173" spans="1:41" ht="12" customHeight="1" x14ac:dyDescent="0.35">
      <c r="A173" s="29" t="s">
        <v>96</v>
      </c>
      <c r="B173" s="30" t="s">
        <v>127</v>
      </c>
      <c r="C173" s="29">
        <v>5</v>
      </c>
      <c r="D173" s="29" t="s">
        <v>128</v>
      </c>
      <c r="E173" s="31" t="s">
        <v>129</v>
      </c>
      <c r="F173" s="29">
        <v>21831</v>
      </c>
      <c r="G173" s="29" t="s">
        <v>59</v>
      </c>
      <c r="H173" s="32">
        <v>46102</v>
      </c>
      <c r="I173" s="33">
        <v>46102</v>
      </c>
      <c r="J173" s="34" t="s">
        <v>71</v>
      </c>
      <c r="K173" s="35">
        <v>0.44884259259259257</v>
      </c>
      <c r="L173" s="35">
        <v>0.54372685185185188</v>
      </c>
      <c r="M173" s="36">
        <v>0.53217592592592589</v>
      </c>
      <c r="N173" s="35">
        <v>0.62706018518518514</v>
      </c>
      <c r="O173" s="37">
        <f>IF(N173&gt;M173,N173-M173,(N173+1)-M173)</f>
        <v>9.4884259259259252E-2</v>
      </c>
      <c r="P173" s="29" t="s">
        <v>130</v>
      </c>
      <c r="Q173" s="29" t="s">
        <v>59</v>
      </c>
      <c r="R173" s="29" t="s">
        <v>130</v>
      </c>
      <c r="S173" s="38" t="s">
        <v>46</v>
      </c>
      <c r="T173" s="39" t="s">
        <v>73</v>
      </c>
      <c r="U173" s="39" t="s">
        <v>59</v>
      </c>
      <c r="V173" s="38" t="s">
        <v>104</v>
      </c>
      <c r="W173" s="40" t="s">
        <v>59</v>
      </c>
      <c r="X173" s="13" t="s">
        <v>59</v>
      </c>
      <c r="Y173" s="13" t="s">
        <v>59</v>
      </c>
      <c r="Z173" s="13" t="s">
        <v>59</v>
      </c>
      <c r="AA173" s="13" t="s">
        <v>59</v>
      </c>
      <c r="AB173" s="41" t="s">
        <v>59</v>
      </c>
      <c r="AC173" s="16" t="s">
        <v>59</v>
      </c>
      <c r="AD173" s="42" t="s">
        <v>59</v>
      </c>
      <c r="AE173" s="42">
        <v>9.1</v>
      </c>
      <c r="AF173" s="42">
        <v>0.8</v>
      </c>
      <c r="AG173" s="43" t="s">
        <v>59</v>
      </c>
      <c r="AH173" s="43" t="s">
        <v>59</v>
      </c>
      <c r="AI173" s="43" t="s">
        <v>59</v>
      </c>
      <c r="AJ173" s="17" t="s">
        <v>59</v>
      </c>
      <c r="AK173" s="17" t="s">
        <v>59</v>
      </c>
      <c r="AL173" s="17">
        <v>1.5166666666666666</v>
      </c>
      <c r="AM173" s="17" t="s">
        <v>59</v>
      </c>
      <c r="AN173" s="17" t="s">
        <v>59</v>
      </c>
      <c r="AO173" s="44" t="s">
        <v>61</v>
      </c>
    </row>
    <row r="174" spans="1:41" ht="12" customHeight="1" x14ac:dyDescent="0.35">
      <c r="A174" s="29" t="s">
        <v>68</v>
      </c>
      <c r="B174" s="30" t="s">
        <v>111</v>
      </c>
      <c r="C174" s="29">
        <v>78</v>
      </c>
      <c r="D174" s="29" t="s">
        <v>112</v>
      </c>
      <c r="E174" s="31" t="s">
        <v>121</v>
      </c>
      <c r="F174" s="29">
        <v>4586</v>
      </c>
      <c r="G174" s="29" t="s">
        <v>59</v>
      </c>
      <c r="H174" s="32">
        <v>46103</v>
      </c>
      <c r="I174" s="33">
        <v>46103</v>
      </c>
      <c r="J174" s="34" t="s">
        <v>74</v>
      </c>
      <c r="K174" s="35">
        <v>0.69513888888888886</v>
      </c>
      <c r="L174" s="35">
        <v>0.73402777777777772</v>
      </c>
      <c r="M174" s="36">
        <v>0.57013888888888886</v>
      </c>
      <c r="N174" s="35">
        <v>0.60902777777777772</v>
      </c>
      <c r="O174" s="37">
        <f>IF(N174&gt;M174,N174-M174,(N174+1)-M174)</f>
        <v>3.8888888888888862E-2</v>
      </c>
      <c r="P174" s="29" t="s">
        <v>114</v>
      </c>
      <c r="Q174" s="29" t="s">
        <v>117</v>
      </c>
      <c r="R174" s="29" t="s">
        <v>118</v>
      </c>
      <c r="S174" s="38" t="s">
        <v>46</v>
      </c>
      <c r="T174" s="39" t="s">
        <v>73</v>
      </c>
      <c r="U174" s="39" t="s">
        <v>59</v>
      </c>
      <c r="V174" s="38" t="s">
        <v>107</v>
      </c>
      <c r="W174" s="40" t="s">
        <v>59</v>
      </c>
      <c r="X174" s="13" t="s">
        <v>59</v>
      </c>
      <c r="Y174" s="13" t="s">
        <v>59</v>
      </c>
      <c r="Z174" s="13" t="s">
        <v>59</v>
      </c>
      <c r="AA174" s="13" t="s">
        <v>59</v>
      </c>
      <c r="AB174" s="41" t="s">
        <v>59</v>
      </c>
      <c r="AC174" s="16" t="s">
        <v>59</v>
      </c>
      <c r="AD174" s="42" t="s">
        <v>59</v>
      </c>
      <c r="AE174" s="42">
        <v>2.5</v>
      </c>
      <c r="AF174" s="42">
        <v>0.02</v>
      </c>
      <c r="AG174" s="43" t="s">
        <v>59</v>
      </c>
      <c r="AH174" s="43" t="s">
        <v>59</v>
      </c>
      <c r="AI174" s="43" t="s">
        <v>59</v>
      </c>
      <c r="AJ174" s="17" t="s">
        <v>59</v>
      </c>
      <c r="AK174" s="17" t="s">
        <v>59</v>
      </c>
      <c r="AL174" s="17">
        <v>1.5337218320610688</v>
      </c>
      <c r="AM174" s="17" t="s">
        <v>59</v>
      </c>
      <c r="AN174" s="17" t="s">
        <v>59</v>
      </c>
      <c r="AO174" s="44" t="s">
        <v>61</v>
      </c>
    </row>
    <row r="175" spans="1:41" ht="12" customHeight="1" x14ac:dyDescent="0.35">
      <c r="A175" s="29" t="s">
        <v>68</v>
      </c>
      <c r="B175" s="30" t="s">
        <v>111</v>
      </c>
      <c r="C175" s="29">
        <v>78</v>
      </c>
      <c r="D175" s="29" t="s">
        <v>112</v>
      </c>
      <c r="E175" s="31" t="s">
        <v>121</v>
      </c>
      <c r="F175" s="29">
        <v>4586</v>
      </c>
      <c r="G175" s="29" t="s">
        <v>59</v>
      </c>
      <c r="H175" s="32">
        <v>46103</v>
      </c>
      <c r="I175" s="33">
        <v>46103</v>
      </c>
      <c r="J175" s="34" t="s">
        <v>74</v>
      </c>
      <c r="K175" s="35">
        <v>0.73541666666666672</v>
      </c>
      <c r="L175" s="35">
        <v>0.73819444444444449</v>
      </c>
      <c r="M175" s="36">
        <v>0.61041666666666672</v>
      </c>
      <c r="N175" s="35">
        <v>0.61319444444444449</v>
      </c>
      <c r="O175" s="37">
        <f>IF(N175&gt;M175,N175-M175,(N175+1)-M175)</f>
        <v>2.7777777777777679E-3</v>
      </c>
      <c r="P175" s="29" t="s">
        <v>114</v>
      </c>
      <c r="Q175" s="29" t="s">
        <v>115</v>
      </c>
      <c r="R175" s="29" t="s">
        <v>116</v>
      </c>
      <c r="S175" s="38" t="s">
        <v>46</v>
      </c>
      <c r="T175" s="39" t="s">
        <v>73</v>
      </c>
      <c r="U175" s="39" t="s">
        <v>59</v>
      </c>
      <c r="V175" s="38" t="s">
        <v>107</v>
      </c>
      <c r="W175" s="40" t="s">
        <v>59</v>
      </c>
      <c r="X175" s="13" t="s">
        <v>59</v>
      </c>
      <c r="Y175" s="13" t="s">
        <v>59</v>
      </c>
      <c r="Z175" s="13" t="s">
        <v>59</v>
      </c>
      <c r="AA175" s="13" t="s">
        <v>59</v>
      </c>
      <c r="AB175" s="41" t="s">
        <v>59</v>
      </c>
      <c r="AC175" s="16" t="s">
        <v>59</v>
      </c>
      <c r="AD175" s="42" t="s">
        <v>59</v>
      </c>
      <c r="AE175" s="42">
        <v>8.44</v>
      </c>
      <c r="AF175" s="42">
        <v>0.06</v>
      </c>
      <c r="AG175" s="43" t="s">
        <v>59</v>
      </c>
      <c r="AH175" s="43" t="s">
        <v>59</v>
      </c>
      <c r="AI175" s="43" t="s">
        <v>59</v>
      </c>
      <c r="AJ175" s="17" t="s">
        <v>59</v>
      </c>
      <c r="AK175" s="17" t="s">
        <v>59</v>
      </c>
      <c r="AL175" s="17">
        <v>1.5337218320610688</v>
      </c>
      <c r="AM175" s="17" t="s">
        <v>59</v>
      </c>
      <c r="AN175" s="17" t="s">
        <v>59</v>
      </c>
      <c r="AO175" s="44" t="s">
        <v>61</v>
      </c>
    </row>
    <row r="176" spans="1:41" ht="12" customHeight="1" x14ac:dyDescent="0.35">
      <c r="A176" s="29" t="s">
        <v>68</v>
      </c>
      <c r="B176" s="30" t="s">
        <v>111</v>
      </c>
      <c r="C176" s="29">
        <v>78</v>
      </c>
      <c r="D176" s="29" t="s">
        <v>112</v>
      </c>
      <c r="E176" s="31" t="s">
        <v>121</v>
      </c>
      <c r="F176" s="29">
        <v>4586</v>
      </c>
      <c r="G176" s="29" t="s">
        <v>59</v>
      </c>
      <c r="H176" s="32">
        <v>46103</v>
      </c>
      <c r="I176" s="33">
        <v>46103</v>
      </c>
      <c r="J176" s="34" t="s">
        <v>74</v>
      </c>
      <c r="K176" s="35">
        <v>0.75972222222222219</v>
      </c>
      <c r="L176" s="35">
        <v>0.76388888888888884</v>
      </c>
      <c r="M176" s="36">
        <v>0.63472222222222219</v>
      </c>
      <c r="N176" s="35">
        <v>0.63888888888888884</v>
      </c>
      <c r="O176" s="37">
        <f>IF(N176&gt;M176,N176-M176,(N176+1)-M176)</f>
        <v>4.1666666666666519E-3</v>
      </c>
      <c r="P176" s="29" t="s">
        <v>114</v>
      </c>
      <c r="Q176" s="29" t="s">
        <v>115</v>
      </c>
      <c r="R176" s="29" t="s">
        <v>116</v>
      </c>
      <c r="S176" s="38" t="s">
        <v>46</v>
      </c>
      <c r="T176" s="39" t="s">
        <v>73</v>
      </c>
      <c r="U176" s="39" t="s">
        <v>59</v>
      </c>
      <c r="V176" s="38" t="s">
        <v>107</v>
      </c>
      <c r="W176" s="40" t="s">
        <v>59</v>
      </c>
      <c r="X176" s="13" t="s">
        <v>59</v>
      </c>
      <c r="Y176" s="13" t="s">
        <v>59</v>
      </c>
      <c r="Z176" s="13" t="s">
        <v>59</v>
      </c>
      <c r="AA176" s="13" t="s">
        <v>59</v>
      </c>
      <c r="AB176" s="41" t="s">
        <v>59</v>
      </c>
      <c r="AC176" s="16" t="s">
        <v>59</v>
      </c>
      <c r="AD176" s="42" t="s">
        <v>59</v>
      </c>
      <c r="AE176" s="42">
        <v>8.85</v>
      </c>
      <c r="AF176" s="42">
        <v>0.06</v>
      </c>
      <c r="AG176" s="43" t="s">
        <v>59</v>
      </c>
      <c r="AH176" s="43" t="s">
        <v>59</v>
      </c>
      <c r="AI176" s="43" t="s">
        <v>59</v>
      </c>
      <c r="AJ176" s="17" t="s">
        <v>59</v>
      </c>
      <c r="AK176" s="17" t="s">
        <v>59</v>
      </c>
      <c r="AL176" s="17">
        <v>1.5337218320610688</v>
      </c>
      <c r="AM176" s="17" t="s">
        <v>59</v>
      </c>
      <c r="AN176" s="17" t="s">
        <v>59</v>
      </c>
      <c r="AO176" s="44" t="s">
        <v>61</v>
      </c>
    </row>
    <row r="177" spans="1:41" ht="12" customHeight="1" x14ac:dyDescent="0.35">
      <c r="A177" s="29" t="s">
        <v>68</v>
      </c>
      <c r="B177" s="30" t="s">
        <v>111</v>
      </c>
      <c r="C177" s="29">
        <v>78</v>
      </c>
      <c r="D177" s="29" t="s">
        <v>112</v>
      </c>
      <c r="E177" s="31" t="s">
        <v>121</v>
      </c>
      <c r="F177" s="29">
        <v>4586</v>
      </c>
      <c r="G177" s="29" t="s">
        <v>59</v>
      </c>
      <c r="H177" s="32">
        <v>46103</v>
      </c>
      <c r="I177" s="33">
        <v>46103</v>
      </c>
      <c r="J177" s="34" t="s">
        <v>74</v>
      </c>
      <c r="K177" s="35">
        <v>0.77430555555555558</v>
      </c>
      <c r="L177" s="35">
        <v>0.77847222222222223</v>
      </c>
      <c r="M177" s="36">
        <v>0.64930555555555558</v>
      </c>
      <c r="N177" s="35">
        <v>0.65347222222222223</v>
      </c>
      <c r="O177" s="37">
        <f>IF(N177&gt;M177,N177-M177,(N177+1)-M177)</f>
        <v>4.1666666666666519E-3</v>
      </c>
      <c r="P177" s="29" t="s">
        <v>114</v>
      </c>
      <c r="Q177" s="29" t="s">
        <v>115</v>
      </c>
      <c r="R177" s="29" t="s">
        <v>116</v>
      </c>
      <c r="S177" s="38" t="s">
        <v>46</v>
      </c>
      <c r="T177" s="39" t="s">
        <v>73</v>
      </c>
      <c r="U177" s="39" t="s">
        <v>59</v>
      </c>
      <c r="V177" s="38" t="s">
        <v>107</v>
      </c>
      <c r="W177" s="40" t="s">
        <v>59</v>
      </c>
      <c r="X177" s="13" t="s">
        <v>59</v>
      </c>
      <c r="Y177" s="13" t="s">
        <v>59</v>
      </c>
      <c r="Z177" s="13" t="s">
        <v>59</v>
      </c>
      <c r="AA177" s="13" t="s">
        <v>59</v>
      </c>
      <c r="AB177" s="41" t="s">
        <v>59</v>
      </c>
      <c r="AC177" s="16" t="s">
        <v>59</v>
      </c>
      <c r="AD177" s="42" t="s">
        <v>59</v>
      </c>
      <c r="AE177" s="42">
        <v>5.6</v>
      </c>
      <c r="AF177" s="42">
        <v>0.04</v>
      </c>
      <c r="AG177" s="43" t="s">
        <v>59</v>
      </c>
      <c r="AH177" s="43" t="s">
        <v>59</v>
      </c>
      <c r="AI177" s="43" t="s">
        <v>59</v>
      </c>
      <c r="AJ177" s="17" t="s">
        <v>59</v>
      </c>
      <c r="AK177" s="17" t="s">
        <v>59</v>
      </c>
      <c r="AL177" s="17">
        <v>1.5337218320610688</v>
      </c>
      <c r="AM177" s="17" t="s">
        <v>59</v>
      </c>
      <c r="AN177" s="17" t="s">
        <v>59</v>
      </c>
      <c r="AO177" s="44" t="s">
        <v>61</v>
      </c>
    </row>
    <row r="178" spans="1:41" ht="12" customHeight="1" x14ac:dyDescent="0.35">
      <c r="A178" s="29" t="s">
        <v>68</v>
      </c>
      <c r="B178" s="30" t="s">
        <v>111</v>
      </c>
      <c r="C178" s="29">
        <v>78</v>
      </c>
      <c r="D178" s="29" t="s">
        <v>112</v>
      </c>
      <c r="E178" s="31" t="s">
        <v>121</v>
      </c>
      <c r="F178" s="29">
        <v>4586</v>
      </c>
      <c r="G178" s="29" t="s">
        <v>59</v>
      </c>
      <c r="H178" s="32">
        <v>46103</v>
      </c>
      <c r="I178" s="33">
        <v>46103</v>
      </c>
      <c r="J178" s="34" t="s">
        <v>74</v>
      </c>
      <c r="K178" s="35">
        <v>0.78194444444444444</v>
      </c>
      <c r="L178" s="35">
        <v>0.78611111111111109</v>
      </c>
      <c r="M178" s="36">
        <v>0.65694444444444444</v>
      </c>
      <c r="N178" s="35">
        <v>0.66111111111111109</v>
      </c>
      <c r="O178" s="37">
        <f>IF(N178&gt;M178,N178-M178,(N178+1)-M178)</f>
        <v>4.1666666666666519E-3</v>
      </c>
      <c r="P178" s="29" t="s">
        <v>114</v>
      </c>
      <c r="Q178" s="29" t="s">
        <v>115</v>
      </c>
      <c r="R178" s="29" t="s">
        <v>116</v>
      </c>
      <c r="S178" s="38" t="s">
        <v>46</v>
      </c>
      <c r="T178" s="39" t="s">
        <v>73</v>
      </c>
      <c r="U178" s="39" t="s">
        <v>59</v>
      </c>
      <c r="V178" s="38" t="s">
        <v>107</v>
      </c>
      <c r="W178" s="40" t="s">
        <v>59</v>
      </c>
      <c r="X178" s="13" t="s">
        <v>59</v>
      </c>
      <c r="Y178" s="13" t="s">
        <v>59</v>
      </c>
      <c r="Z178" s="13" t="s">
        <v>59</v>
      </c>
      <c r="AA178" s="13" t="s">
        <v>59</v>
      </c>
      <c r="AB178" s="41" t="s">
        <v>59</v>
      </c>
      <c r="AC178" s="16" t="s">
        <v>59</v>
      </c>
      <c r="AD178" s="42" t="s">
        <v>59</v>
      </c>
      <c r="AE178" s="42">
        <v>3.82</v>
      </c>
      <c r="AF178" s="42">
        <v>0.03</v>
      </c>
      <c r="AG178" s="43" t="s">
        <v>59</v>
      </c>
      <c r="AH178" s="43" t="s">
        <v>59</v>
      </c>
      <c r="AI178" s="43" t="s">
        <v>59</v>
      </c>
      <c r="AJ178" s="17" t="s">
        <v>59</v>
      </c>
      <c r="AK178" s="17" t="s">
        <v>59</v>
      </c>
      <c r="AL178" s="17">
        <v>1.5337218320610688</v>
      </c>
      <c r="AM178" s="17" t="s">
        <v>59</v>
      </c>
      <c r="AN178" s="17" t="s">
        <v>59</v>
      </c>
      <c r="AO178" s="44" t="s">
        <v>61</v>
      </c>
    </row>
    <row r="179" spans="1:41" ht="12" customHeight="1" x14ac:dyDescent="0.35">
      <c r="A179" s="29" t="s">
        <v>68</v>
      </c>
      <c r="B179" s="30" t="s">
        <v>111</v>
      </c>
      <c r="C179" s="29">
        <v>78</v>
      </c>
      <c r="D179" s="29" t="s">
        <v>112</v>
      </c>
      <c r="E179" s="31" t="s">
        <v>121</v>
      </c>
      <c r="F179" s="29">
        <v>4586</v>
      </c>
      <c r="G179" s="29" t="s">
        <v>59</v>
      </c>
      <c r="H179" s="32">
        <v>46103</v>
      </c>
      <c r="I179" s="33">
        <v>46103</v>
      </c>
      <c r="J179" s="34" t="s">
        <v>74</v>
      </c>
      <c r="K179" s="35">
        <v>0.7944444444444444</v>
      </c>
      <c r="L179" s="35">
        <v>0.80208333333333337</v>
      </c>
      <c r="M179" s="36">
        <v>0.6694444444444444</v>
      </c>
      <c r="N179" s="35">
        <v>0.67708333333333337</v>
      </c>
      <c r="O179" s="37">
        <f>IF(N179&gt;M179,N179-M179,(N179+1)-M179)</f>
        <v>7.6388888888889728E-3</v>
      </c>
      <c r="P179" s="29" t="s">
        <v>114</v>
      </c>
      <c r="Q179" s="29" t="s">
        <v>117</v>
      </c>
      <c r="R179" s="29" t="s">
        <v>118</v>
      </c>
      <c r="S179" s="38" t="s">
        <v>46</v>
      </c>
      <c r="T179" s="39" t="s">
        <v>73</v>
      </c>
      <c r="U179" s="39" t="s">
        <v>59</v>
      </c>
      <c r="V179" s="38" t="s">
        <v>107</v>
      </c>
      <c r="W179" s="40" t="s">
        <v>59</v>
      </c>
      <c r="X179" s="13" t="s">
        <v>59</v>
      </c>
      <c r="Y179" s="13" t="s">
        <v>59</v>
      </c>
      <c r="Z179" s="13" t="s">
        <v>59</v>
      </c>
      <c r="AA179" s="13" t="s">
        <v>59</v>
      </c>
      <c r="AB179" s="41" t="s">
        <v>59</v>
      </c>
      <c r="AC179" s="16" t="s">
        <v>59</v>
      </c>
      <c r="AD179" s="42" t="s">
        <v>59</v>
      </c>
      <c r="AE179" s="42">
        <v>1.04</v>
      </c>
      <c r="AF179" s="42">
        <v>0.01</v>
      </c>
      <c r="AG179" s="43" t="s">
        <v>59</v>
      </c>
      <c r="AH179" s="43" t="s">
        <v>59</v>
      </c>
      <c r="AI179" s="43" t="s">
        <v>59</v>
      </c>
      <c r="AJ179" s="17" t="s">
        <v>59</v>
      </c>
      <c r="AK179" s="17" t="s">
        <v>59</v>
      </c>
      <c r="AL179" s="17">
        <v>1.5337218320610688</v>
      </c>
      <c r="AM179" s="17" t="s">
        <v>59</v>
      </c>
      <c r="AN179" s="17" t="s">
        <v>59</v>
      </c>
      <c r="AO179" s="44" t="s">
        <v>61</v>
      </c>
    </row>
    <row r="180" spans="1:41" ht="12" customHeight="1" x14ac:dyDescent="0.35">
      <c r="A180" s="29" t="s">
        <v>68</v>
      </c>
      <c r="B180" s="30" t="s">
        <v>111</v>
      </c>
      <c r="C180" s="29">
        <v>78</v>
      </c>
      <c r="D180" s="29" t="s">
        <v>112</v>
      </c>
      <c r="E180" s="31" t="s">
        <v>121</v>
      </c>
      <c r="F180" s="29">
        <v>4586</v>
      </c>
      <c r="G180" s="29" t="s">
        <v>59</v>
      </c>
      <c r="H180" s="32">
        <v>46103</v>
      </c>
      <c r="I180" s="33">
        <v>46103</v>
      </c>
      <c r="J180" s="34" t="s">
        <v>74</v>
      </c>
      <c r="K180" s="35">
        <v>0.80694444444444446</v>
      </c>
      <c r="L180" s="35">
        <v>0.82361111111111107</v>
      </c>
      <c r="M180" s="36">
        <v>0.68194444444444446</v>
      </c>
      <c r="N180" s="35">
        <v>0.69861111111111107</v>
      </c>
      <c r="O180" s="37">
        <f>IF(N180&gt;M180,N180-M180,(N180+1)-M180)</f>
        <v>1.6666666666666607E-2</v>
      </c>
      <c r="P180" s="29" t="s">
        <v>114</v>
      </c>
      <c r="Q180" s="29" t="s">
        <v>115</v>
      </c>
      <c r="R180" s="29" t="s">
        <v>116</v>
      </c>
      <c r="S180" s="38" t="s">
        <v>46</v>
      </c>
      <c r="T180" s="39" t="s">
        <v>73</v>
      </c>
      <c r="U180" s="39" t="s">
        <v>59</v>
      </c>
      <c r="V180" s="38" t="s">
        <v>107</v>
      </c>
      <c r="W180" s="40" t="s">
        <v>59</v>
      </c>
      <c r="X180" s="13" t="s">
        <v>59</v>
      </c>
      <c r="Y180" s="13" t="s">
        <v>59</v>
      </c>
      <c r="Z180" s="13" t="s">
        <v>59</v>
      </c>
      <c r="AA180" s="13" t="s">
        <v>59</v>
      </c>
      <c r="AB180" s="41" t="s">
        <v>59</v>
      </c>
      <c r="AC180" s="16" t="s">
        <v>59</v>
      </c>
      <c r="AD180" s="42" t="s">
        <v>59</v>
      </c>
      <c r="AE180" s="42">
        <v>8.7899999999999991</v>
      </c>
      <c r="AF180" s="42">
        <v>0.06</v>
      </c>
      <c r="AG180" s="43" t="s">
        <v>59</v>
      </c>
      <c r="AH180" s="43" t="s">
        <v>59</v>
      </c>
      <c r="AI180" s="43" t="s">
        <v>59</v>
      </c>
      <c r="AJ180" s="17" t="s">
        <v>59</v>
      </c>
      <c r="AK180" s="17" t="s">
        <v>59</v>
      </c>
      <c r="AL180" s="17">
        <v>1.5337218320610688</v>
      </c>
      <c r="AM180" s="17" t="s">
        <v>59</v>
      </c>
      <c r="AN180" s="17" t="s">
        <v>59</v>
      </c>
      <c r="AO180" s="44" t="s">
        <v>61</v>
      </c>
    </row>
    <row r="181" spans="1:41" ht="12" customHeight="1" x14ac:dyDescent="0.35">
      <c r="A181" s="29" t="s">
        <v>96</v>
      </c>
      <c r="B181" s="30" t="s">
        <v>97</v>
      </c>
      <c r="C181" s="29">
        <v>1</v>
      </c>
      <c r="D181" s="29" t="s">
        <v>98</v>
      </c>
      <c r="E181" s="31" t="s">
        <v>366</v>
      </c>
      <c r="F181" s="29">
        <v>2661</v>
      </c>
      <c r="G181" s="29" t="s">
        <v>59</v>
      </c>
      <c r="H181" s="32">
        <v>46102</v>
      </c>
      <c r="I181" s="33">
        <v>46102</v>
      </c>
      <c r="J181" s="34" t="s">
        <v>71</v>
      </c>
      <c r="K181" s="35">
        <v>0.93410879629629628</v>
      </c>
      <c r="L181" s="35">
        <v>0.9754976851851852</v>
      </c>
      <c r="M181" s="36">
        <v>0.97577546296296291</v>
      </c>
      <c r="N181" s="35">
        <v>1.7164351851851851E-2</v>
      </c>
      <c r="O181" s="37">
        <f>IF(N181&gt;M181,N181-M181,(N181+1)-M181)</f>
        <v>4.1388888888888919E-2</v>
      </c>
      <c r="P181" s="29" t="s">
        <v>105</v>
      </c>
      <c r="Q181" s="29" t="s">
        <v>59</v>
      </c>
      <c r="R181" s="29" t="s">
        <v>105</v>
      </c>
      <c r="S181" s="38" t="s">
        <v>49</v>
      </c>
      <c r="T181" s="39" t="s">
        <v>73</v>
      </c>
      <c r="U181" s="39" t="s">
        <v>59</v>
      </c>
      <c r="V181" s="38" t="s">
        <v>104</v>
      </c>
      <c r="W181" s="40" t="s">
        <v>59</v>
      </c>
      <c r="X181" s="13" t="s">
        <v>59</v>
      </c>
      <c r="Y181" s="13" t="s">
        <v>59</v>
      </c>
      <c r="Z181" s="13" t="s">
        <v>59</v>
      </c>
      <c r="AA181" s="13" t="s">
        <v>59</v>
      </c>
      <c r="AB181" s="41" t="s">
        <v>59</v>
      </c>
      <c r="AC181" s="16" t="s">
        <v>59</v>
      </c>
      <c r="AD181" s="42" t="s">
        <v>59</v>
      </c>
      <c r="AE181" s="42">
        <v>2.4</v>
      </c>
      <c r="AF181" s="42">
        <v>0.2</v>
      </c>
      <c r="AG181" s="43" t="s">
        <v>59</v>
      </c>
      <c r="AH181" s="43" t="s">
        <v>59</v>
      </c>
      <c r="AI181" s="43" t="s">
        <v>59</v>
      </c>
      <c r="AJ181" s="17" t="s">
        <v>59</v>
      </c>
      <c r="AK181" s="17" t="s">
        <v>59</v>
      </c>
      <c r="AL181" s="17">
        <v>1.5428571428571429</v>
      </c>
      <c r="AM181" s="17" t="s">
        <v>59</v>
      </c>
      <c r="AN181" s="17" t="s">
        <v>59</v>
      </c>
      <c r="AO181" s="44" t="s">
        <v>61</v>
      </c>
    </row>
    <row r="182" spans="1:41" ht="12" customHeight="1" x14ac:dyDescent="0.35">
      <c r="A182" s="29" t="s">
        <v>68</v>
      </c>
      <c r="B182" s="30" t="s">
        <v>111</v>
      </c>
      <c r="C182" s="29">
        <v>78</v>
      </c>
      <c r="D182" s="29" t="s">
        <v>112</v>
      </c>
      <c r="E182" s="31" t="s">
        <v>121</v>
      </c>
      <c r="F182" s="29">
        <v>4586</v>
      </c>
      <c r="G182" s="29" t="s">
        <v>59</v>
      </c>
      <c r="H182" s="32">
        <v>46103</v>
      </c>
      <c r="I182" s="33">
        <v>46103</v>
      </c>
      <c r="J182" s="34" t="s">
        <v>74</v>
      </c>
      <c r="K182" s="35">
        <v>0.8354166666666667</v>
      </c>
      <c r="L182" s="35">
        <v>0.86527777777777781</v>
      </c>
      <c r="M182" s="36">
        <v>0.7104166666666667</v>
      </c>
      <c r="N182" s="35">
        <v>0.74027777777777781</v>
      </c>
      <c r="O182" s="37">
        <f>IF(N182&gt;M182,N182-M182,(N182+1)-M182)</f>
        <v>2.9861111111111116E-2</v>
      </c>
      <c r="P182" s="29" t="s">
        <v>122</v>
      </c>
      <c r="Q182" s="29" t="s">
        <v>123</v>
      </c>
      <c r="R182" s="29" t="s">
        <v>124</v>
      </c>
      <c r="S182" s="38" t="s">
        <v>49</v>
      </c>
      <c r="T182" s="39" t="s">
        <v>73</v>
      </c>
      <c r="U182" s="39" t="s">
        <v>59</v>
      </c>
      <c r="V182" s="38" t="s">
        <v>107</v>
      </c>
      <c r="W182" s="40" t="s">
        <v>59</v>
      </c>
      <c r="X182" s="13" t="s">
        <v>59</v>
      </c>
      <c r="Y182" s="13" t="s">
        <v>59</v>
      </c>
      <c r="Z182" s="13" t="s">
        <v>59</v>
      </c>
      <c r="AA182" s="13" t="s">
        <v>59</v>
      </c>
      <c r="AB182" s="41" t="s">
        <v>59</v>
      </c>
      <c r="AC182" s="16" t="s">
        <v>59</v>
      </c>
      <c r="AD182" s="42" t="s">
        <v>59</v>
      </c>
      <c r="AE182" s="42">
        <v>9.7200000000000006</v>
      </c>
      <c r="AF182" s="42">
        <v>0.06</v>
      </c>
      <c r="AG182" s="43" t="s">
        <v>59</v>
      </c>
      <c r="AH182" s="43" t="s">
        <v>59</v>
      </c>
      <c r="AI182" s="43" t="s">
        <v>59</v>
      </c>
      <c r="AJ182" s="17" t="s">
        <v>59</v>
      </c>
      <c r="AK182" s="17" t="s">
        <v>59</v>
      </c>
      <c r="AL182" s="17">
        <v>1.6303342309310576</v>
      </c>
      <c r="AM182" s="17" t="s">
        <v>59</v>
      </c>
      <c r="AN182" s="17" t="s">
        <v>59</v>
      </c>
      <c r="AO182" s="44" t="s">
        <v>61</v>
      </c>
    </row>
    <row r="183" spans="1:41" ht="12" customHeight="1" x14ac:dyDescent="0.35">
      <c r="A183" s="29" t="s">
        <v>96</v>
      </c>
      <c r="B183" s="30" t="s">
        <v>260</v>
      </c>
      <c r="C183" s="29">
        <v>33</v>
      </c>
      <c r="D183" s="29" t="s">
        <v>261</v>
      </c>
      <c r="E183" s="31" t="s">
        <v>262</v>
      </c>
      <c r="F183" s="29">
        <v>31586</v>
      </c>
      <c r="G183" s="29" t="s">
        <v>59</v>
      </c>
      <c r="H183" s="32">
        <v>46105</v>
      </c>
      <c r="I183" s="33">
        <v>46105</v>
      </c>
      <c r="J183" s="34" t="s">
        <v>99</v>
      </c>
      <c r="K183" s="35">
        <v>0.73939814814814819</v>
      </c>
      <c r="L183" s="35">
        <v>0.82184027777777779</v>
      </c>
      <c r="M183" s="36">
        <v>0.86439814814814819</v>
      </c>
      <c r="N183" s="35">
        <v>0.94684027777777779</v>
      </c>
      <c r="O183" s="37">
        <f>IF(N183&gt;M183,N183-M183,(N183+1)-M183)</f>
        <v>8.2442129629629601E-2</v>
      </c>
      <c r="P183" s="29" t="s">
        <v>265</v>
      </c>
      <c r="Q183" s="29" t="s">
        <v>59</v>
      </c>
      <c r="R183" s="29" t="s">
        <v>265</v>
      </c>
      <c r="S183" s="38" t="s">
        <v>48</v>
      </c>
      <c r="T183" s="39" t="s">
        <v>73</v>
      </c>
      <c r="U183" s="39" t="s">
        <v>59</v>
      </c>
      <c r="V183" s="38" t="s">
        <v>107</v>
      </c>
      <c r="W183" s="40" t="s">
        <v>59</v>
      </c>
      <c r="X183" s="13" t="s">
        <v>59</v>
      </c>
      <c r="Y183" s="13" t="s">
        <v>59</v>
      </c>
      <c r="Z183" s="13" t="s">
        <v>59</v>
      </c>
      <c r="AA183" s="13" t="s">
        <v>59</v>
      </c>
      <c r="AB183" s="41" t="s">
        <v>59</v>
      </c>
      <c r="AC183" s="16" t="s">
        <v>59</v>
      </c>
      <c r="AD183" s="42" t="s">
        <v>59</v>
      </c>
      <c r="AE183" s="42">
        <v>15.2</v>
      </c>
      <c r="AF183" s="42">
        <v>0</v>
      </c>
      <c r="AG183" s="43" t="s">
        <v>59</v>
      </c>
      <c r="AH183" s="43" t="s">
        <v>59</v>
      </c>
      <c r="AI183" s="43" t="s">
        <v>59</v>
      </c>
      <c r="AJ183" s="17" t="s">
        <v>59</v>
      </c>
      <c r="AK183" s="17" t="s">
        <v>59</v>
      </c>
      <c r="AL183" s="17">
        <v>1.6888888888888889</v>
      </c>
      <c r="AM183" s="17" t="s">
        <v>59</v>
      </c>
      <c r="AN183" s="17" t="s">
        <v>59</v>
      </c>
      <c r="AO183" s="44" t="s">
        <v>61</v>
      </c>
    </row>
    <row r="184" spans="1:41" ht="12" customHeight="1" x14ac:dyDescent="0.35">
      <c r="A184" s="29" t="s">
        <v>96</v>
      </c>
      <c r="B184" s="30" t="s">
        <v>138</v>
      </c>
      <c r="C184" s="29">
        <v>11</v>
      </c>
      <c r="D184" s="29" t="s">
        <v>139</v>
      </c>
      <c r="E184" s="31" t="s">
        <v>144</v>
      </c>
      <c r="F184" s="29">
        <v>1089</v>
      </c>
      <c r="G184" s="29" t="s">
        <v>59</v>
      </c>
      <c r="H184" s="32">
        <v>46102</v>
      </c>
      <c r="I184" s="33">
        <v>46102</v>
      </c>
      <c r="J184" s="34" t="s">
        <v>71</v>
      </c>
      <c r="K184" s="35">
        <v>0.71891203703703699</v>
      </c>
      <c r="L184" s="35">
        <v>0.85193287037037035</v>
      </c>
      <c r="M184" s="36">
        <v>0.80224537037037036</v>
      </c>
      <c r="N184" s="35">
        <v>0.93526620370370372</v>
      </c>
      <c r="O184" s="37">
        <f>IF(N184&gt;M184,N184-M184,(N184+1)-M184)</f>
        <v>0.13302083333333337</v>
      </c>
      <c r="P184" s="29" t="s">
        <v>142</v>
      </c>
      <c r="Q184" s="29" t="s">
        <v>145</v>
      </c>
      <c r="R184" s="29" t="s">
        <v>146</v>
      </c>
      <c r="S184" s="38" t="s">
        <v>46</v>
      </c>
      <c r="T184" s="39" t="s">
        <v>73</v>
      </c>
      <c r="U184" s="39" t="s">
        <v>59</v>
      </c>
      <c r="V184" s="38" t="s">
        <v>104</v>
      </c>
      <c r="W184" s="40" t="s">
        <v>59</v>
      </c>
      <c r="X184" s="13" t="s">
        <v>59</v>
      </c>
      <c r="Y184" s="13" t="s">
        <v>59</v>
      </c>
      <c r="Z184" s="13" t="s">
        <v>59</v>
      </c>
      <c r="AA184" s="13" t="s">
        <v>59</v>
      </c>
      <c r="AB184" s="41" t="s">
        <v>59</v>
      </c>
      <c r="AC184" s="16" t="s">
        <v>59</v>
      </c>
      <c r="AD184" s="42" t="s">
        <v>59</v>
      </c>
      <c r="AE184" s="42">
        <v>12.8</v>
      </c>
      <c r="AF184" s="42">
        <v>3.77</v>
      </c>
      <c r="AG184" s="43" t="s">
        <v>59</v>
      </c>
      <c r="AH184" s="43" t="s">
        <v>59</v>
      </c>
      <c r="AI184" s="43" t="s">
        <v>59</v>
      </c>
      <c r="AJ184" s="17" t="s">
        <v>59</v>
      </c>
      <c r="AK184" s="17" t="s">
        <v>59</v>
      </c>
      <c r="AL184" s="17">
        <v>1.7066666666666668</v>
      </c>
      <c r="AM184" s="17" t="s">
        <v>59</v>
      </c>
      <c r="AN184" s="17" t="s">
        <v>59</v>
      </c>
      <c r="AO184" s="44" t="s">
        <v>61</v>
      </c>
    </row>
    <row r="185" spans="1:41" ht="12" customHeight="1" x14ac:dyDescent="0.35">
      <c r="A185" s="29" t="s">
        <v>68</v>
      </c>
      <c r="B185" s="30" t="s">
        <v>111</v>
      </c>
      <c r="C185" s="29">
        <v>78</v>
      </c>
      <c r="D185" s="29" t="s">
        <v>112</v>
      </c>
      <c r="E185" s="31" t="s">
        <v>121</v>
      </c>
      <c r="F185" s="29">
        <v>4586</v>
      </c>
      <c r="G185" s="29" t="s">
        <v>59</v>
      </c>
      <c r="H185" s="32">
        <v>46103</v>
      </c>
      <c r="I185" s="33">
        <v>46103</v>
      </c>
      <c r="J185" s="34" t="s">
        <v>74</v>
      </c>
      <c r="K185" s="35">
        <v>0.76388888888888884</v>
      </c>
      <c r="L185" s="35">
        <v>0.76944444444444449</v>
      </c>
      <c r="M185" s="36">
        <v>0.63888888888888884</v>
      </c>
      <c r="N185" s="35">
        <v>0.64444444444444449</v>
      </c>
      <c r="O185" s="37">
        <f>IF(N185&gt;M185,N185-M185,(N185+1)-M185)</f>
        <v>5.5555555555556468E-3</v>
      </c>
      <c r="P185" s="29" t="s">
        <v>114</v>
      </c>
      <c r="Q185" s="29" t="s">
        <v>117</v>
      </c>
      <c r="R185" s="29" t="s">
        <v>118</v>
      </c>
      <c r="S185" s="38" t="s">
        <v>46</v>
      </c>
      <c r="T185" s="39" t="s">
        <v>73</v>
      </c>
      <c r="U185" s="39" t="s">
        <v>59</v>
      </c>
      <c r="V185" s="38" t="s">
        <v>107</v>
      </c>
      <c r="W185" s="40" t="s">
        <v>59</v>
      </c>
      <c r="X185" s="13" t="s">
        <v>59</v>
      </c>
      <c r="Y185" s="13" t="s">
        <v>59</v>
      </c>
      <c r="Z185" s="13" t="s">
        <v>59</v>
      </c>
      <c r="AA185" s="13" t="s">
        <v>59</v>
      </c>
      <c r="AB185" s="41" t="s">
        <v>59</v>
      </c>
      <c r="AC185" s="16" t="s">
        <v>59</v>
      </c>
      <c r="AD185" s="42" t="s">
        <v>59</v>
      </c>
      <c r="AE185" s="42">
        <v>10.47</v>
      </c>
      <c r="AF185" s="42">
        <v>7.0000000000000007E-2</v>
      </c>
      <c r="AG185" s="43" t="s">
        <v>59</v>
      </c>
      <c r="AH185" s="43" t="s">
        <v>59</v>
      </c>
      <c r="AI185" s="43" t="s">
        <v>59</v>
      </c>
      <c r="AJ185" s="17" t="s">
        <v>59</v>
      </c>
      <c r="AK185" s="17" t="s">
        <v>59</v>
      </c>
      <c r="AL185" s="17">
        <v>1.7561316252930219</v>
      </c>
      <c r="AM185" s="17" t="s">
        <v>59</v>
      </c>
      <c r="AN185" s="17" t="s">
        <v>59</v>
      </c>
      <c r="AO185" s="44" t="s">
        <v>61</v>
      </c>
    </row>
    <row r="186" spans="1:41" ht="12" customHeight="1" x14ac:dyDescent="0.35">
      <c r="A186" s="29" t="s">
        <v>68</v>
      </c>
      <c r="B186" s="30" t="s">
        <v>111</v>
      </c>
      <c r="C186" s="29">
        <v>78</v>
      </c>
      <c r="D186" s="29" t="s">
        <v>112</v>
      </c>
      <c r="E186" s="31" t="s">
        <v>113</v>
      </c>
      <c r="F186" s="29">
        <v>2874</v>
      </c>
      <c r="G186" s="29" t="s">
        <v>59</v>
      </c>
      <c r="H186" s="32">
        <v>46102</v>
      </c>
      <c r="I186" s="33">
        <v>46102</v>
      </c>
      <c r="J186" s="34" t="s">
        <v>71</v>
      </c>
      <c r="K186" s="35">
        <v>0.41736111111111113</v>
      </c>
      <c r="L186" s="35">
        <v>0.43055555555555558</v>
      </c>
      <c r="M186" s="36">
        <v>0.29236111111111113</v>
      </c>
      <c r="N186" s="35">
        <v>0.30555555555555558</v>
      </c>
      <c r="O186" s="37">
        <f>IF(N186&gt;M186,N186-M186,(N186+1)-M186)</f>
        <v>1.3194444444444453E-2</v>
      </c>
      <c r="P186" s="29" t="s">
        <v>114</v>
      </c>
      <c r="Q186" s="29" t="s">
        <v>117</v>
      </c>
      <c r="R186" s="29" t="s">
        <v>118</v>
      </c>
      <c r="S186" s="38" t="s">
        <v>46</v>
      </c>
      <c r="T186" s="39" t="s">
        <v>73</v>
      </c>
      <c r="U186" s="39" t="s">
        <v>59</v>
      </c>
      <c r="V186" s="38" t="s">
        <v>104</v>
      </c>
      <c r="W186" s="40" t="s">
        <v>59</v>
      </c>
      <c r="X186" s="13" t="s">
        <v>59</v>
      </c>
      <c r="Y186" s="13" t="s">
        <v>59</v>
      </c>
      <c r="Z186" s="13" t="s">
        <v>59</v>
      </c>
      <c r="AA186" s="13" t="s">
        <v>59</v>
      </c>
      <c r="AB186" s="41" t="s">
        <v>59</v>
      </c>
      <c r="AC186" s="16" t="s">
        <v>59</v>
      </c>
      <c r="AD186" s="42" t="s">
        <v>59</v>
      </c>
      <c r="AE186" s="42">
        <v>2.2400000000000002</v>
      </c>
      <c r="AF186" s="42">
        <v>0.05</v>
      </c>
      <c r="AG186" s="43" t="s">
        <v>59</v>
      </c>
      <c r="AH186" s="43" t="s">
        <v>59</v>
      </c>
      <c r="AI186" s="43" t="s">
        <v>59</v>
      </c>
      <c r="AJ186" s="17" t="s">
        <v>59</v>
      </c>
      <c r="AK186" s="17" t="s">
        <v>59</v>
      </c>
      <c r="AL186" s="17">
        <v>1.8043786259541985</v>
      </c>
      <c r="AM186" s="17" t="s">
        <v>59</v>
      </c>
      <c r="AN186" s="17" t="s">
        <v>59</v>
      </c>
      <c r="AO186" s="44" t="s">
        <v>61</v>
      </c>
    </row>
    <row r="187" spans="1:41" ht="12" customHeight="1" x14ac:dyDescent="0.35">
      <c r="A187" s="29" t="s">
        <v>68</v>
      </c>
      <c r="B187" s="30" t="s">
        <v>111</v>
      </c>
      <c r="C187" s="29">
        <v>78</v>
      </c>
      <c r="D187" s="29" t="s">
        <v>112</v>
      </c>
      <c r="E187" s="31" t="s">
        <v>113</v>
      </c>
      <c r="F187" s="29">
        <v>2874</v>
      </c>
      <c r="G187" s="29" t="s">
        <v>59</v>
      </c>
      <c r="H187" s="32">
        <v>46102</v>
      </c>
      <c r="I187" s="33">
        <v>46102</v>
      </c>
      <c r="J187" s="34" t="s">
        <v>71</v>
      </c>
      <c r="K187" s="35">
        <v>0.44444444444444442</v>
      </c>
      <c r="L187" s="35">
        <v>0.45069444444444445</v>
      </c>
      <c r="M187" s="36">
        <v>0.31944444444444442</v>
      </c>
      <c r="N187" s="35">
        <v>0.32569444444444445</v>
      </c>
      <c r="O187" s="37">
        <f>IF(N187&gt;M187,N187-M187,(N187+1)-M187)</f>
        <v>6.2500000000000333E-3</v>
      </c>
      <c r="P187" s="29" t="s">
        <v>114</v>
      </c>
      <c r="Q187" s="29" t="s">
        <v>117</v>
      </c>
      <c r="R187" s="29" t="s">
        <v>118</v>
      </c>
      <c r="S187" s="38" t="s">
        <v>46</v>
      </c>
      <c r="T187" s="39" t="s">
        <v>73</v>
      </c>
      <c r="U187" s="39" t="s">
        <v>59</v>
      </c>
      <c r="V187" s="38" t="s">
        <v>104</v>
      </c>
      <c r="W187" s="40" t="s">
        <v>59</v>
      </c>
      <c r="X187" s="13" t="s">
        <v>59</v>
      </c>
      <c r="Y187" s="13" t="s">
        <v>59</v>
      </c>
      <c r="Z187" s="13" t="s">
        <v>59</v>
      </c>
      <c r="AA187" s="13" t="s">
        <v>59</v>
      </c>
      <c r="AB187" s="41" t="s">
        <v>59</v>
      </c>
      <c r="AC187" s="16" t="s">
        <v>59</v>
      </c>
      <c r="AD187" s="42" t="s">
        <v>59</v>
      </c>
      <c r="AE187" s="42">
        <v>3.82</v>
      </c>
      <c r="AF187" s="42">
        <v>7.0000000000000007E-2</v>
      </c>
      <c r="AG187" s="43" t="s">
        <v>59</v>
      </c>
      <c r="AH187" s="43" t="s">
        <v>59</v>
      </c>
      <c r="AI187" s="43" t="s">
        <v>59</v>
      </c>
      <c r="AJ187" s="17" t="s">
        <v>59</v>
      </c>
      <c r="AK187" s="17" t="s">
        <v>59</v>
      </c>
      <c r="AL187" s="17">
        <v>1.8043786259541985</v>
      </c>
      <c r="AM187" s="17" t="s">
        <v>59</v>
      </c>
      <c r="AN187" s="17" t="s">
        <v>59</v>
      </c>
      <c r="AO187" s="44" t="s">
        <v>61</v>
      </c>
    </row>
    <row r="188" spans="1:41" ht="12" customHeight="1" x14ac:dyDescent="0.35">
      <c r="A188" s="29" t="s">
        <v>68</v>
      </c>
      <c r="B188" s="30" t="s">
        <v>111</v>
      </c>
      <c r="C188" s="29">
        <v>78</v>
      </c>
      <c r="D188" s="29" t="s">
        <v>112</v>
      </c>
      <c r="E188" s="31" t="s">
        <v>113</v>
      </c>
      <c r="F188" s="29">
        <v>2874</v>
      </c>
      <c r="G188" s="29" t="s">
        <v>59</v>
      </c>
      <c r="H188" s="32">
        <v>46102</v>
      </c>
      <c r="I188" s="33">
        <v>46102</v>
      </c>
      <c r="J188" s="34" t="s">
        <v>71</v>
      </c>
      <c r="K188" s="35">
        <v>0.45902777777777776</v>
      </c>
      <c r="L188" s="35">
        <v>0.46180555555555558</v>
      </c>
      <c r="M188" s="36">
        <v>0.33402777777777776</v>
      </c>
      <c r="N188" s="35">
        <v>0.33680555555555558</v>
      </c>
      <c r="O188" s="37">
        <f>IF(N188&gt;M188,N188-M188,(N188+1)-M188)</f>
        <v>2.7777777777778234E-3</v>
      </c>
      <c r="P188" s="29" t="s">
        <v>114</v>
      </c>
      <c r="Q188" s="29" t="s">
        <v>119</v>
      </c>
      <c r="R188" s="29" t="s">
        <v>120</v>
      </c>
      <c r="S188" s="38" t="s">
        <v>46</v>
      </c>
      <c r="T188" s="39" t="s">
        <v>73</v>
      </c>
      <c r="U188" s="39" t="s">
        <v>59</v>
      </c>
      <c r="V188" s="38" t="s">
        <v>104</v>
      </c>
      <c r="W188" s="40" t="s">
        <v>59</v>
      </c>
      <c r="X188" s="13" t="s">
        <v>59</v>
      </c>
      <c r="Y188" s="13" t="s">
        <v>59</v>
      </c>
      <c r="Z188" s="13" t="s">
        <v>59</v>
      </c>
      <c r="AA188" s="13" t="s">
        <v>59</v>
      </c>
      <c r="AB188" s="41" t="s">
        <v>59</v>
      </c>
      <c r="AC188" s="16" t="s">
        <v>59</v>
      </c>
      <c r="AD188" s="42" t="s">
        <v>59</v>
      </c>
      <c r="AE188" s="42">
        <v>4.21</v>
      </c>
      <c r="AF188" s="42">
        <v>0.08</v>
      </c>
      <c r="AG188" s="43" t="s">
        <v>59</v>
      </c>
      <c r="AH188" s="43" t="s">
        <v>59</v>
      </c>
      <c r="AI188" s="43" t="s">
        <v>59</v>
      </c>
      <c r="AJ188" s="17" t="s">
        <v>59</v>
      </c>
      <c r="AK188" s="17" t="s">
        <v>59</v>
      </c>
      <c r="AL188" s="17">
        <v>1.8043786259541985</v>
      </c>
      <c r="AM188" s="17" t="s">
        <v>59</v>
      </c>
      <c r="AN188" s="17" t="s">
        <v>59</v>
      </c>
      <c r="AO188" s="44" t="s">
        <v>61</v>
      </c>
    </row>
    <row r="189" spans="1:41" ht="12" customHeight="1" x14ac:dyDescent="0.35">
      <c r="A189" s="29" t="s">
        <v>68</v>
      </c>
      <c r="B189" s="30" t="s">
        <v>111</v>
      </c>
      <c r="C189" s="29">
        <v>78</v>
      </c>
      <c r="D189" s="29" t="s">
        <v>112</v>
      </c>
      <c r="E189" s="31" t="s">
        <v>113</v>
      </c>
      <c r="F189" s="29">
        <v>2874</v>
      </c>
      <c r="G189" s="29" t="s">
        <v>59</v>
      </c>
      <c r="H189" s="32">
        <v>46103</v>
      </c>
      <c r="I189" s="33">
        <v>46103</v>
      </c>
      <c r="J189" s="34" t="s">
        <v>74</v>
      </c>
      <c r="K189" s="35">
        <v>0.4152777777777778</v>
      </c>
      <c r="L189" s="35">
        <v>0.41805555555555557</v>
      </c>
      <c r="M189" s="36">
        <v>0.2902777777777778</v>
      </c>
      <c r="N189" s="35">
        <v>0.29305555555555557</v>
      </c>
      <c r="O189" s="37">
        <f>IF(N189&gt;M189,N189-M189,(N189+1)-M189)</f>
        <v>2.7777777777777679E-3</v>
      </c>
      <c r="P189" s="29" t="s">
        <v>114</v>
      </c>
      <c r="Q189" s="29" t="s">
        <v>115</v>
      </c>
      <c r="R189" s="29" t="s">
        <v>116</v>
      </c>
      <c r="S189" s="38" t="s">
        <v>46</v>
      </c>
      <c r="T189" s="39" t="s">
        <v>73</v>
      </c>
      <c r="U189" s="39" t="s">
        <v>59</v>
      </c>
      <c r="V189" s="38" t="s">
        <v>107</v>
      </c>
      <c r="W189" s="40" t="s">
        <v>59</v>
      </c>
      <c r="X189" s="13" t="s">
        <v>59</v>
      </c>
      <c r="Y189" s="13" t="s">
        <v>59</v>
      </c>
      <c r="Z189" s="13" t="s">
        <v>59</v>
      </c>
      <c r="AA189" s="13" t="s">
        <v>59</v>
      </c>
      <c r="AB189" s="41" t="s">
        <v>59</v>
      </c>
      <c r="AC189" s="16" t="s">
        <v>59</v>
      </c>
      <c r="AD189" s="42" t="s">
        <v>59</v>
      </c>
      <c r="AE189" s="42">
        <v>0</v>
      </c>
      <c r="AF189" s="42">
        <v>0</v>
      </c>
      <c r="AG189" s="43" t="s">
        <v>59</v>
      </c>
      <c r="AH189" s="43" t="s">
        <v>59</v>
      </c>
      <c r="AI189" s="43" t="s">
        <v>59</v>
      </c>
      <c r="AJ189" s="17" t="s">
        <v>59</v>
      </c>
      <c r="AK189" s="17" t="s">
        <v>59</v>
      </c>
      <c r="AL189" s="17">
        <v>1.8043786259541985</v>
      </c>
      <c r="AM189" s="17" t="s">
        <v>59</v>
      </c>
      <c r="AN189" s="17" t="s">
        <v>59</v>
      </c>
      <c r="AO189" s="44" t="s">
        <v>61</v>
      </c>
    </row>
    <row r="190" spans="1:41" ht="12" customHeight="1" x14ac:dyDescent="0.35">
      <c r="A190" s="29" t="s">
        <v>68</v>
      </c>
      <c r="B190" s="30" t="s">
        <v>111</v>
      </c>
      <c r="C190" s="29">
        <v>78</v>
      </c>
      <c r="D190" s="29" t="s">
        <v>112</v>
      </c>
      <c r="E190" s="31" t="s">
        <v>113</v>
      </c>
      <c r="F190" s="29">
        <v>2874</v>
      </c>
      <c r="G190" s="29" t="s">
        <v>59</v>
      </c>
      <c r="H190" s="32">
        <v>46103</v>
      </c>
      <c r="I190" s="33">
        <v>46103</v>
      </c>
      <c r="J190" s="34" t="s">
        <v>74</v>
      </c>
      <c r="K190" s="35">
        <v>0.41944444444444445</v>
      </c>
      <c r="L190" s="35">
        <v>0.43125000000000002</v>
      </c>
      <c r="M190" s="36">
        <v>0.29444444444444445</v>
      </c>
      <c r="N190" s="35">
        <v>0.30625000000000002</v>
      </c>
      <c r="O190" s="37">
        <f>IF(N190&gt;M190,N190-M190,(N190+1)-M190)</f>
        <v>1.1805555555555569E-2</v>
      </c>
      <c r="P190" s="29" t="s">
        <v>114</v>
      </c>
      <c r="Q190" s="29" t="s">
        <v>117</v>
      </c>
      <c r="R190" s="29" t="s">
        <v>118</v>
      </c>
      <c r="S190" s="38" t="s">
        <v>46</v>
      </c>
      <c r="T190" s="39" t="s">
        <v>73</v>
      </c>
      <c r="U190" s="39" t="s">
        <v>59</v>
      </c>
      <c r="V190" s="38" t="s">
        <v>107</v>
      </c>
      <c r="W190" s="40" t="s">
        <v>59</v>
      </c>
      <c r="X190" s="13" t="s">
        <v>59</v>
      </c>
      <c r="Y190" s="13" t="s">
        <v>59</v>
      </c>
      <c r="Z190" s="13" t="s">
        <v>59</v>
      </c>
      <c r="AA190" s="13" t="s">
        <v>59</v>
      </c>
      <c r="AB190" s="41" t="s">
        <v>59</v>
      </c>
      <c r="AC190" s="16" t="s">
        <v>59</v>
      </c>
      <c r="AD190" s="42" t="s">
        <v>59</v>
      </c>
      <c r="AE190" s="42">
        <v>4.0599999999999996</v>
      </c>
      <c r="AF190" s="42">
        <v>0.11</v>
      </c>
      <c r="AG190" s="43" t="s">
        <v>59</v>
      </c>
      <c r="AH190" s="43" t="s">
        <v>59</v>
      </c>
      <c r="AI190" s="43" t="s">
        <v>59</v>
      </c>
      <c r="AJ190" s="17" t="s">
        <v>59</v>
      </c>
      <c r="AK190" s="17" t="s">
        <v>59</v>
      </c>
      <c r="AL190" s="17">
        <v>1.8043786259541985</v>
      </c>
      <c r="AM190" s="17" t="s">
        <v>59</v>
      </c>
      <c r="AN190" s="17" t="s">
        <v>59</v>
      </c>
      <c r="AO190" s="44" t="s">
        <v>61</v>
      </c>
    </row>
    <row r="191" spans="1:41" ht="12" customHeight="1" x14ac:dyDescent="0.35">
      <c r="A191" s="29" t="s">
        <v>68</v>
      </c>
      <c r="B191" s="30" t="s">
        <v>111</v>
      </c>
      <c r="C191" s="29">
        <v>78</v>
      </c>
      <c r="D191" s="29" t="s">
        <v>112</v>
      </c>
      <c r="E191" s="31" t="s">
        <v>113</v>
      </c>
      <c r="F191" s="29">
        <v>2874</v>
      </c>
      <c r="G191" s="29" t="s">
        <v>59</v>
      </c>
      <c r="H191" s="32">
        <v>46103</v>
      </c>
      <c r="I191" s="33">
        <v>46103</v>
      </c>
      <c r="J191" s="34" t="s">
        <v>74</v>
      </c>
      <c r="K191" s="35">
        <v>0.43402777777777779</v>
      </c>
      <c r="L191" s="35">
        <v>0.44027777777777777</v>
      </c>
      <c r="M191" s="36">
        <v>0.30902777777777779</v>
      </c>
      <c r="N191" s="35">
        <v>0.31527777777777777</v>
      </c>
      <c r="O191" s="37">
        <f>IF(N191&gt;M191,N191-M191,(N191+1)-M191)</f>
        <v>6.2499999999999778E-3</v>
      </c>
      <c r="P191" s="29" t="s">
        <v>114</v>
      </c>
      <c r="Q191" s="29" t="s">
        <v>115</v>
      </c>
      <c r="R191" s="29" t="s">
        <v>116</v>
      </c>
      <c r="S191" s="38" t="s">
        <v>46</v>
      </c>
      <c r="T191" s="39" t="s">
        <v>73</v>
      </c>
      <c r="U191" s="39" t="s">
        <v>59</v>
      </c>
      <c r="V191" s="38" t="s">
        <v>107</v>
      </c>
      <c r="W191" s="40" t="s">
        <v>59</v>
      </c>
      <c r="X191" s="13" t="s">
        <v>59</v>
      </c>
      <c r="Y191" s="13" t="s">
        <v>59</v>
      </c>
      <c r="Z191" s="13" t="s">
        <v>59</v>
      </c>
      <c r="AA191" s="13" t="s">
        <v>59</v>
      </c>
      <c r="AB191" s="41" t="s">
        <v>59</v>
      </c>
      <c r="AC191" s="16" t="s">
        <v>59</v>
      </c>
      <c r="AD191" s="42" t="s">
        <v>59</v>
      </c>
      <c r="AE191" s="42">
        <v>4.6100000000000003</v>
      </c>
      <c r="AF191" s="42">
        <v>0.11</v>
      </c>
      <c r="AG191" s="43" t="s">
        <v>59</v>
      </c>
      <c r="AH191" s="43" t="s">
        <v>59</v>
      </c>
      <c r="AI191" s="43" t="s">
        <v>59</v>
      </c>
      <c r="AJ191" s="17" t="s">
        <v>59</v>
      </c>
      <c r="AK191" s="17" t="s">
        <v>59</v>
      </c>
      <c r="AL191" s="17">
        <v>1.8043786259541985</v>
      </c>
      <c r="AM191" s="17" t="s">
        <v>59</v>
      </c>
      <c r="AN191" s="17" t="s">
        <v>59</v>
      </c>
      <c r="AO191" s="44" t="s">
        <v>61</v>
      </c>
    </row>
    <row r="192" spans="1:41" ht="12" customHeight="1" x14ac:dyDescent="0.35">
      <c r="A192" s="29" t="s">
        <v>96</v>
      </c>
      <c r="B192" s="30" t="s">
        <v>238</v>
      </c>
      <c r="C192" s="29">
        <v>6</v>
      </c>
      <c r="D192" s="29" t="s">
        <v>239</v>
      </c>
      <c r="E192" s="31" t="s">
        <v>240</v>
      </c>
      <c r="F192" s="29">
        <v>3164</v>
      </c>
      <c r="G192" s="29" t="s">
        <v>59</v>
      </c>
      <c r="H192" s="32">
        <v>46101</v>
      </c>
      <c r="I192" s="33">
        <v>46101</v>
      </c>
      <c r="J192" s="34" t="s">
        <v>79</v>
      </c>
      <c r="K192" s="35">
        <v>0.72916666666666663</v>
      </c>
      <c r="L192" s="35">
        <v>0.73071759259259261</v>
      </c>
      <c r="M192" s="36">
        <v>0.77083333333333337</v>
      </c>
      <c r="N192" s="35">
        <v>0.77238425925925924</v>
      </c>
      <c r="O192" s="37">
        <f>IF(N192&gt;M192,N192-M192,(N192+1)-M192)</f>
        <v>1.5509259259258723E-3</v>
      </c>
      <c r="P192" s="29" t="s">
        <v>241</v>
      </c>
      <c r="Q192" s="29" t="s">
        <v>242</v>
      </c>
      <c r="R192" s="29" t="s">
        <v>243</v>
      </c>
      <c r="S192" s="38" t="s">
        <v>46</v>
      </c>
      <c r="T192" s="39" t="s">
        <v>73</v>
      </c>
      <c r="U192" s="39" t="s">
        <v>59</v>
      </c>
      <c r="V192" s="38" t="s">
        <v>100</v>
      </c>
      <c r="W192" s="40" t="s">
        <v>59</v>
      </c>
      <c r="X192" s="13" t="s">
        <v>59</v>
      </c>
      <c r="Y192" s="13" t="s">
        <v>59</v>
      </c>
      <c r="Z192" s="13" t="s">
        <v>59</v>
      </c>
      <c r="AA192" s="13" t="s">
        <v>59</v>
      </c>
      <c r="AB192" s="41" t="s">
        <v>59</v>
      </c>
      <c r="AC192" s="16" t="s">
        <v>59</v>
      </c>
      <c r="AD192" s="42" t="s">
        <v>59</v>
      </c>
      <c r="AE192" s="42">
        <v>2.2999999999999998</v>
      </c>
      <c r="AF192" s="42">
        <v>0.3</v>
      </c>
      <c r="AG192" s="43" t="s">
        <v>59</v>
      </c>
      <c r="AH192" s="43" t="s">
        <v>59</v>
      </c>
      <c r="AI192" s="43" t="s">
        <v>59</v>
      </c>
      <c r="AJ192" s="17" t="s">
        <v>59</v>
      </c>
      <c r="AK192" s="17" t="s">
        <v>59</v>
      </c>
      <c r="AL192" s="17">
        <v>1.8532249999999997</v>
      </c>
      <c r="AM192" s="17" t="s">
        <v>59</v>
      </c>
      <c r="AN192" s="17" t="s">
        <v>59</v>
      </c>
      <c r="AO192" s="44" t="s">
        <v>61</v>
      </c>
    </row>
    <row r="193" spans="1:41" ht="12" customHeight="1" x14ac:dyDescent="0.35">
      <c r="A193" s="29" t="s">
        <v>96</v>
      </c>
      <c r="B193" s="30" t="s">
        <v>97</v>
      </c>
      <c r="C193" s="29">
        <v>1</v>
      </c>
      <c r="D193" s="29" t="s">
        <v>98</v>
      </c>
      <c r="E193" s="31" t="s">
        <v>366</v>
      </c>
      <c r="F193" s="29">
        <v>2661</v>
      </c>
      <c r="G193" s="29" t="s">
        <v>59</v>
      </c>
      <c r="H193" s="32">
        <v>46102</v>
      </c>
      <c r="I193" s="33">
        <v>46102</v>
      </c>
      <c r="J193" s="34" t="s">
        <v>71</v>
      </c>
      <c r="K193" s="35">
        <v>0.375</v>
      </c>
      <c r="L193" s="35">
        <v>0.54303240740740744</v>
      </c>
      <c r="M193" s="36">
        <v>0.41666666666666669</v>
      </c>
      <c r="N193" s="35">
        <v>0.58469907407407407</v>
      </c>
      <c r="O193" s="37">
        <f>IF(N193&gt;M193,N193-M193,(N193+1)-M193)</f>
        <v>0.16803240740740738</v>
      </c>
      <c r="P193" s="29" t="s">
        <v>103</v>
      </c>
      <c r="Q193" s="29" t="s">
        <v>59</v>
      </c>
      <c r="R193" s="29" t="s">
        <v>103</v>
      </c>
      <c r="S193" s="38" t="s">
        <v>46</v>
      </c>
      <c r="T193" s="39" t="s">
        <v>73</v>
      </c>
      <c r="U193" s="39" t="s">
        <v>59</v>
      </c>
      <c r="V193" s="38" t="s">
        <v>104</v>
      </c>
      <c r="W193" s="40" t="s">
        <v>59</v>
      </c>
      <c r="X193" s="13" t="s">
        <v>59</v>
      </c>
      <c r="Y193" s="13" t="s">
        <v>59</v>
      </c>
      <c r="Z193" s="13" t="s">
        <v>59</v>
      </c>
      <c r="AA193" s="13" t="s">
        <v>59</v>
      </c>
      <c r="AB193" s="41" t="s">
        <v>59</v>
      </c>
      <c r="AC193" s="16" t="s">
        <v>59</v>
      </c>
      <c r="AD193" s="42" t="s">
        <v>59</v>
      </c>
      <c r="AE193" s="42">
        <v>2.9</v>
      </c>
      <c r="AF193" s="42">
        <v>0.3</v>
      </c>
      <c r="AG193" s="43" t="s">
        <v>59</v>
      </c>
      <c r="AH193" s="43" t="s">
        <v>59</v>
      </c>
      <c r="AI193" s="43" t="s">
        <v>59</v>
      </c>
      <c r="AJ193" s="17" t="s">
        <v>59</v>
      </c>
      <c r="AK193" s="17" t="s">
        <v>59</v>
      </c>
      <c r="AL193" s="17">
        <v>1.8642857142857141</v>
      </c>
      <c r="AM193" s="17" t="s">
        <v>59</v>
      </c>
      <c r="AN193" s="17" t="s">
        <v>59</v>
      </c>
      <c r="AO193" s="44" t="s">
        <v>61</v>
      </c>
    </row>
    <row r="194" spans="1:41" ht="12" customHeight="1" x14ac:dyDescent="0.35">
      <c r="A194" s="29" t="s">
        <v>68</v>
      </c>
      <c r="B194" s="30" t="s">
        <v>111</v>
      </c>
      <c r="C194" s="29">
        <v>78</v>
      </c>
      <c r="D194" s="29" t="s">
        <v>112</v>
      </c>
      <c r="E194" s="31" t="s">
        <v>121</v>
      </c>
      <c r="F194" s="29">
        <v>4586</v>
      </c>
      <c r="G194" s="29" t="s">
        <v>59</v>
      </c>
      <c r="H194" s="32">
        <v>46103</v>
      </c>
      <c r="I194" s="33">
        <v>46103</v>
      </c>
      <c r="J194" s="34" t="s">
        <v>74</v>
      </c>
      <c r="K194" s="35">
        <v>0.91527777777777775</v>
      </c>
      <c r="L194" s="35">
        <v>0.97013888888888888</v>
      </c>
      <c r="M194" s="36">
        <v>0.79027777777777775</v>
      </c>
      <c r="N194" s="35">
        <v>0.84513888888888888</v>
      </c>
      <c r="O194" s="37">
        <f>IF(N194&gt;M194,N194-M194,(N194+1)-M194)</f>
        <v>5.4861111111111138E-2</v>
      </c>
      <c r="P194" s="29" t="s">
        <v>122</v>
      </c>
      <c r="Q194" s="29" t="s">
        <v>125</v>
      </c>
      <c r="R194" s="29" t="s">
        <v>126</v>
      </c>
      <c r="S194" s="38" t="s">
        <v>48</v>
      </c>
      <c r="T194" s="39" t="s">
        <v>73</v>
      </c>
      <c r="U194" s="39" t="s">
        <v>59</v>
      </c>
      <c r="V194" s="38" t="s">
        <v>107</v>
      </c>
      <c r="W194" s="40" t="s">
        <v>59</v>
      </c>
      <c r="X194" s="13" t="s">
        <v>59</v>
      </c>
      <c r="Y194" s="13" t="s">
        <v>59</v>
      </c>
      <c r="Z194" s="13" t="s">
        <v>59</v>
      </c>
      <c r="AA194" s="13" t="s">
        <v>59</v>
      </c>
      <c r="AB194" s="41" t="s">
        <v>59</v>
      </c>
      <c r="AC194" s="16" t="s">
        <v>59</v>
      </c>
      <c r="AD194" s="42" t="s">
        <v>59</v>
      </c>
      <c r="AE194" s="42">
        <v>11.34</v>
      </c>
      <c r="AF194" s="42">
        <v>0.06</v>
      </c>
      <c r="AG194" s="43" t="s">
        <v>59</v>
      </c>
      <c r="AH194" s="43" t="s">
        <v>59</v>
      </c>
      <c r="AI194" s="43" t="s">
        <v>59</v>
      </c>
      <c r="AJ194" s="17" t="s">
        <v>59</v>
      </c>
      <c r="AK194" s="17" t="s">
        <v>59</v>
      </c>
      <c r="AL194" s="17">
        <v>1.9020566027529002</v>
      </c>
      <c r="AM194" s="17" t="s">
        <v>59</v>
      </c>
      <c r="AN194" s="17" t="s">
        <v>59</v>
      </c>
      <c r="AO194" s="44" t="s">
        <v>61</v>
      </c>
    </row>
    <row r="195" spans="1:41" ht="12" customHeight="1" x14ac:dyDescent="0.35">
      <c r="A195" s="29" t="s">
        <v>96</v>
      </c>
      <c r="B195" s="30" t="s">
        <v>169</v>
      </c>
      <c r="C195" s="29">
        <v>18</v>
      </c>
      <c r="D195" s="29" t="s">
        <v>170</v>
      </c>
      <c r="E195" s="31" t="s">
        <v>171</v>
      </c>
      <c r="F195" s="29">
        <v>6812</v>
      </c>
      <c r="G195" s="29" t="s">
        <v>59</v>
      </c>
      <c r="H195" s="32">
        <v>46106</v>
      </c>
      <c r="I195" s="33">
        <v>46106</v>
      </c>
      <c r="J195" s="34" t="s">
        <v>110</v>
      </c>
      <c r="K195" s="35">
        <v>5.1215277777777776E-2</v>
      </c>
      <c r="L195" s="35">
        <v>0.12523148148148147</v>
      </c>
      <c r="M195" s="36">
        <v>9.2881944444444448E-2</v>
      </c>
      <c r="N195" s="35">
        <v>0.16689814814814816</v>
      </c>
      <c r="O195" s="37">
        <f>IF(N195&gt;M195,N195-M195,(N195+1)-M195)</f>
        <v>7.4016203703703709E-2</v>
      </c>
      <c r="P195" s="29" t="s">
        <v>172</v>
      </c>
      <c r="Q195" s="29" t="s">
        <v>173</v>
      </c>
      <c r="R195" s="29" t="s">
        <v>174</v>
      </c>
      <c r="S195" s="38" t="s">
        <v>48</v>
      </c>
      <c r="T195" s="39" t="s">
        <v>73</v>
      </c>
      <c r="U195" s="39" t="s">
        <v>59</v>
      </c>
      <c r="V195" s="38" t="s">
        <v>107</v>
      </c>
      <c r="W195" s="40" t="s">
        <v>59</v>
      </c>
      <c r="X195" s="13" t="s">
        <v>59</v>
      </c>
      <c r="Y195" s="13" t="s">
        <v>59</v>
      </c>
      <c r="Z195" s="13" t="s">
        <v>59</v>
      </c>
      <c r="AA195" s="13" t="s">
        <v>59</v>
      </c>
      <c r="AB195" s="41" t="s">
        <v>59</v>
      </c>
      <c r="AC195" s="16" t="s">
        <v>59</v>
      </c>
      <c r="AD195" s="42" t="s">
        <v>59</v>
      </c>
      <c r="AE195" s="42">
        <v>3.6</v>
      </c>
      <c r="AF195" s="42">
        <v>0.68</v>
      </c>
      <c r="AG195" s="43" t="s">
        <v>59</v>
      </c>
      <c r="AH195" s="43" t="s">
        <v>59</v>
      </c>
      <c r="AI195" s="43" t="s">
        <v>59</v>
      </c>
      <c r="AJ195" s="17" t="s">
        <v>59</v>
      </c>
      <c r="AK195" s="17" t="s">
        <v>59</v>
      </c>
      <c r="AL195" s="17">
        <v>1.9058650989694659</v>
      </c>
      <c r="AM195" s="17" t="s">
        <v>59</v>
      </c>
      <c r="AN195" s="17" t="s">
        <v>59</v>
      </c>
      <c r="AO195" s="44" t="s">
        <v>61</v>
      </c>
    </row>
    <row r="196" spans="1:41" ht="12" customHeight="1" x14ac:dyDescent="0.35">
      <c r="A196" s="29" t="s">
        <v>68</v>
      </c>
      <c r="B196" s="30" t="s">
        <v>111</v>
      </c>
      <c r="C196" s="29">
        <v>78</v>
      </c>
      <c r="D196" s="29" t="s">
        <v>112</v>
      </c>
      <c r="E196" s="31" t="s">
        <v>113</v>
      </c>
      <c r="F196" s="29">
        <v>2874</v>
      </c>
      <c r="G196" s="29" t="s">
        <v>59</v>
      </c>
      <c r="H196" s="32">
        <v>46101</v>
      </c>
      <c r="I196" s="33">
        <v>46101</v>
      </c>
      <c r="J196" s="34" t="s">
        <v>79</v>
      </c>
      <c r="K196" s="35">
        <v>0.71527777777777779</v>
      </c>
      <c r="L196" s="35">
        <v>0.74513888888888891</v>
      </c>
      <c r="M196" s="36">
        <v>0.59027777777777779</v>
      </c>
      <c r="N196" s="35">
        <v>0.62013888888888891</v>
      </c>
      <c r="O196" s="37">
        <f>IF(N196&gt;M196,N196-M196,(N196+1)-M196)</f>
        <v>2.9861111111111116E-2</v>
      </c>
      <c r="P196" s="29" t="s">
        <v>114</v>
      </c>
      <c r="Q196" s="29" t="s">
        <v>117</v>
      </c>
      <c r="R196" s="29" t="s">
        <v>118</v>
      </c>
      <c r="S196" s="38" t="s">
        <v>46</v>
      </c>
      <c r="T196" s="39" t="s">
        <v>73</v>
      </c>
      <c r="U196" s="39" t="s">
        <v>59</v>
      </c>
      <c r="V196" s="38" t="s">
        <v>100</v>
      </c>
      <c r="W196" s="40" t="s">
        <v>59</v>
      </c>
      <c r="X196" s="13" t="s">
        <v>59</v>
      </c>
      <c r="Y196" s="13" t="s">
        <v>59</v>
      </c>
      <c r="Z196" s="13" t="s">
        <v>59</v>
      </c>
      <c r="AA196" s="13" t="s">
        <v>59</v>
      </c>
      <c r="AB196" s="41" t="s">
        <v>59</v>
      </c>
      <c r="AC196" s="16" t="s">
        <v>59</v>
      </c>
      <c r="AD196" s="42" t="s">
        <v>59</v>
      </c>
      <c r="AE196" s="42">
        <v>5.39</v>
      </c>
      <c r="AF196" s="42">
        <v>0.05</v>
      </c>
      <c r="AG196" s="43" t="s">
        <v>59</v>
      </c>
      <c r="AH196" s="43" t="s">
        <v>59</v>
      </c>
      <c r="AI196" s="43" t="s">
        <v>59</v>
      </c>
      <c r="AJ196" s="17" t="s">
        <v>59</v>
      </c>
      <c r="AK196" s="17" t="s">
        <v>59</v>
      </c>
      <c r="AL196" s="17">
        <v>2.0698404658913763</v>
      </c>
      <c r="AM196" s="17" t="s">
        <v>59</v>
      </c>
      <c r="AN196" s="17" t="s">
        <v>59</v>
      </c>
      <c r="AO196" s="44" t="s">
        <v>61</v>
      </c>
    </row>
    <row r="197" spans="1:41" ht="12" customHeight="1" x14ac:dyDescent="0.35">
      <c r="A197" s="29" t="s">
        <v>68</v>
      </c>
      <c r="B197" s="30" t="s">
        <v>111</v>
      </c>
      <c r="C197" s="29">
        <v>78</v>
      </c>
      <c r="D197" s="29" t="s">
        <v>112</v>
      </c>
      <c r="E197" s="31" t="s">
        <v>121</v>
      </c>
      <c r="F197" s="29">
        <v>4586</v>
      </c>
      <c r="G197" s="29" t="s">
        <v>59</v>
      </c>
      <c r="H197" s="32">
        <v>46103</v>
      </c>
      <c r="I197" s="33">
        <v>46103</v>
      </c>
      <c r="J197" s="34" t="s">
        <v>74</v>
      </c>
      <c r="K197" s="35">
        <v>0.74097222222222225</v>
      </c>
      <c r="L197" s="35">
        <v>0.75486111111111109</v>
      </c>
      <c r="M197" s="36">
        <v>0.61597222222222225</v>
      </c>
      <c r="N197" s="35">
        <v>0.62986111111111109</v>
      </c>
      <c r="O197" s="37">
        <f>IF(N197&gt;M197,N197-M197,(N197+1)-M197)</f>
        <v>1.388888888888884E-2</v>
      </c>
      <c r="P197" s="29" t="s">
        <v>114</v>
      </c>
      <c r="Q197" s="29" t="s">
        <v>117</v>
      </c>
      <c r="R197" s="29" t="s">
        <v>118</v>
      </c>
      <c r="S197" s="38" t="s">
        <v>46</v>
      </c>
      <c r="T197" s="39" t="s">
        <v>73</v>
      </c>
      <c r="U197" s="39" t="s">
        <v>59</v>
      </c>
      <c r="V197" s="38" t="s">
        <v>107</v>
      </c>
      <c r="W197" s="40" t="s">
        <v>59</v>
      </c>
      <c r="X197" s="13" t="s">
        <v>59</v>
      </c>
      <c r="Y197" s="13" t="s">
        <v>59</v>
      </c>
      <c r="Z197" s="13" t="s">
        <v>59</v>
      </c>
      <c r="AA197" s="13" t="s">
        <v>59</v>
      </c>
      <c r="AB197" s="41" t="s">
        <v>59</v>
      </c>
      <c r="AC197" s="16" t="s">
        <v>59</v>
      </c>
      <c r="AD197" s="42" t="s">
        <v>59</v>
      </c>
      <c r="AE197" s="42">
        <v>12.43</v>
      </c>
      <c r="AF197" s="42">
        <v>0.09</v>
      </c>
      <c r="AG197" s="43" t="s">
        <v>59</v>
      </c>
      <c r="AH197" s="43" t="s">
        <v>59</v>
      </c>
      <c r="AI197" s="43" t="s">
        <v>59</v>
      </c>
      <c r="AJ197" s="17" t="s">
        <v>59</v>
      </c>
      <c r="AK197" s="17" t="s">
        <v>59</v>
      </c>
      <c r="AL197" s="17">
        <v>2.084882149225622</v>
      </c>
      <c r="AM197" s="17" t="s">
        <v>59</v>
      </c>
      <c r="AN197" s="17" t="s">
        <v>59</v>
      </c>
      <c r="AO197" s="44" t="s">
        <v>61</v>
      </c>
    </row>
    <row r="198" spans="1:41" ht="12" customHeight="1" x14ac:dyDescent="0.35">
      <c r="A198" s="29" t="s">
        <v>68</v>
      </c>
      <c r="B198" s="30" t="s">
        <v>111</v>
      </c>
      <c r="C198" s="29">
        <v>78</v>
      </c>
      <c r="D198" s="29" t="s">
        <v>112</v>
      </c>
      <c r="E198" s="31" t="s">
        <v>113</v>
      </c>
      <c r="F198" s="29">
        <v>2874</v>
      </c>
      <c r="G198" s="29" t="s">
        <v>59</v>
      </c>
      <c r="H198" s="32">
        <v>46103</v>
      </c>
      <c r="I198" s="33">
        <v>46103</v>
      </c>
      <c r="J198" s="34" t="s">
        <v>74</v>
      </c>
      <c r="K198" s="35">
        <v>0.44305555555555554</v>
      </c>
      <c r="L198" s="35">
        <v>0.44791666666666669</v>
      </c>
      <c r="M198" s="36">
        <v>0.31805555555555554</v>
      </c>
      <c r="N198" s="35">
        <v>0.32291666666666669</v>
      </c>
      <c r="O198" s="37">
        <f>IF(N198&gt;M198,N198-M198,(N198+1)-M198)</f>
        <v>4.8611111111111494E-3</v>
      </c>
      <c r="P198" s="29" t="s">
        <v>114</v>
      </c>
      <c r="Q198" s="29" t="s">
        <v>115</v>
      </c>
      <c r="R198" s="29" t="s">
        <v>116</v>
      </c>
      <c r="S198" s="38" t="s">
        <v>46</v>
      </c>
      <c r="T198" s="39" t="s">
        <v>73</v>
      </c>
      <c r="U198" s="39" t="s">
        <v>59</v>
      </c>
      <c r="V198" s="38" t="s">
        <v>107</v>
      </c>
      <c r="W198" s="40" t="s">
        <v>59</v>
      </c>
      <c r="X198" s="13" t="s">
        <v>59</v>
      </c>
      <c r="Y198" s="13" t="s">
        <v>59</v>
      </c>
      <c r="Z198" s="13" t="s">
        <v>59</v>
      </c>
      <c r="AA198" s="13" t="s">
        <v>59</v>
      </c>
      <c r="AB198" s="41" t="s">
        <v>59</v>
      </c>
      <c r="AC198" s="16" t="s">
        <v>59</v>
      </c>
      <c r="AD198" s="42" t="s">
        <v>59</v>
      </c>
      <c r="AE198" s="42">
        <v>5.43</v>
      </c>
      <c r="AF198" s="42">
        <v>0.12</v>
      </c>
      <c r="AG198" s="43" t="s">
        <v>59</v>
      </c>
      <c r="AH198" s="43" t="s">
        <v>59</v>
      </c>
      <c r="AI198" s="43" t="s">
        <v>59</v>
      </c>
      <c r="AJ198" s="17" t="s">
        <v>59</v>
      </c>
      <c r="AK198" s="17" t="s">
        <v>59</v>
      </c>
      <c r="AL198" s="17">
        <v>2.0852010630408486</v>
      </c>
      <c r="AM198" s="17" t="s">
        <v>59</v>
      </c>
      <c r="AN198" s="17" t="s">
        <v>59</v>
      </c>
      <c r="AO198" s="44" t="s">
        <v>61</v>
      </c>
    </row>
    <row r="199" spans="1:41" ht="12" customHeight="1" x14ac:dyDescent="0.35">
      <c r="A199" s="29" t="s">
        <v>96</v>
      </c>
      <c r="B199" s="30" t="s">
        <v>260</v>
      </c>
      <c r="C199" s="29">
        <v>33</v>
      </c>
      <c r="D199" s="29" t="s">
        <v>261</v>
      </c>
      <c r="E199" s="31" t="s">
        <v>262</v>
      </c>
      <c r="F199" s="29">
        <v>31586</v>
      </c>
      <c r="G199" s="29" t="s">
        <v>59</v>
      </c>
      <c r="H199" s="32">
        <v>46104</v>
      </c>
      <c r="I199" s="33">
        <v>46104</v>
      </c>
      <c r="J199" s="34" t="s">
        <v>67</v>
      </c>
      <c r="K199" s="35">
        <v>0.85024305555555557</v>
      </c>
      <c r="L199" s="35">
        <v>0.95833333333333337</v>
      </c>
      <c r="M199" s="36">
        <v>0.97524305555555557</v>
      </c>
      <c r="N199" s="35">
        <v>8.3333333333333329E-2</v>
      </c>
      <c r="O199" s="37">
        <f>IF(N199&gt;M199,N199-M199,(N199+1)-M199)</f>
        <v>0.10809027777777769</v>
      </c>
      <c r="P199" s="29" t="s">
        <v>264</v>
      </c>
      <c r="Q199" s="29" t="s">
        <v>59</v>
      </c>
      <c r="R199" s="29" t="s">
        <v>264</v>
      </c>
      <c r="S199" s="38" t="s">
        <v>48</v>
      </c>
      <c r="T199" s="39" t="s">
        <v>73</v>
      </c>
      <c r="U199" s="39" t="s">
        <v>59</v>
      </c>
      <c r="V199" s="38" t="s">
        <v>107</v>
      </c>
      <c r="W199" s="40" t="s">
        <v>59</v>
      </c>
      <c r="X199" s="13" t="s">
        <v>59</v>
      </c>
      <c r="Y199" s="13" t="s">
        <v>59</v>
      </c>
      <c r="Z199" s="13" t="s">
        <v>59</v>
      </c>
      <c r="AA199" s="13" t="s">
        <v>59</v>
      </c>
      <c r="AB199" s="41" t="s">
        <v>59</v>
      </c>
      <c r="AC199" s="16" t="s">
        <v>59</v>
      </c>
      <c r="AD199" s="42" t="s">
        <v>59</v>
      </c>
      <c r="AE199" s="42">
        <v>18.8</v>
      </c>
      <c r="AF199" s="42">
        <v>0.1</v>
      </c>
      <c r="AG199" s="43" t="s">
        <v>59</v>
      </c>
      <c r="AH199" s="43" t="s">
        <v>59</v>
      </c>
      <c r="AI199" s="43" t="s">
        <v>59</v>
      </c>
      <c r="AJ199" s="17" t="s">
        <v>59</v>
      </c>
      <c r="AK199" s="17" t="s">
        <v>59</v>
      </c>
      <c r="AL199" s="17">
        <v>2.088888888888889</v>
      </c>
      <c r="AM199" s="17" t="s">
        <v>59</v>
      </c>
      <c r="AN199" s="17" t="s">
        <v>59</v>
      </c>
      <c r="AO199" s="44" t="s">
        <v>61</v>
      </c>
    </row>
    <row r="200" spans="1:41" ht="12" customHeight="1" x14ac:dyDescent="0.35">
      <c r="A200" s="29" t="s">
        <v>96</v>
      </c>
      <c r="B200" s="30" t="s">
        <v>97</v>
      </c>
      <c r="C200" s="29">
        <v>1</v>
      </c>
      <c r="D200" s="29" t="s">
        <v>98</v>
      </c>
      <c r="E200" s="31" t="s">
        <v>366</v>
      </c>
      <c r="F200" s="29">
        <v>2661</v>
      </c>
      <c r="G200" s="29" t="s">
        <v>59</v>
      </c>
      <c r="H200" s="32">
        <v>46101</v>
      </c>
      <c r="I200" s="33">
        <v>46101</v>
      </c>
      <c r="J200" s="34" t="s">
        <v>79</v>
      </c>
      <c r="K200" s="35">
        <v>0.95199074074074075</v>
      </c>
      <c r="L200" s="35">
        <v>0.99409722222222219</v>
      </c>
      <c r="M200" s="36">
        <v>0.99365740740740738</v>
      </c>
      <c r="N200" s="35">
        <v>3.5763888888888887E-2</v>
      </c>
      <c r="O200" s="37">
        <f>IF(N200&gt;M200,N200-M200,(N200+1)-M200)</f>
        <v>4.210648148148155E-2</v>
      </c>
      <c r="P200" s="29" t="s">
        <v>102</v>
      </c>
      <c r="Q200" s="29" t="s">
        <v>59</v>
      </c>
      <c r="R200" s="29" t="s">
        <v>102</v>
      </c>
      <c r="S200" s="38" t="s">
        <v>48</v>
      </c>
      <c r="T200" s="39" t="s">
        <v>73</v>
      </c>
      <c r="U200" s="39" t="s">
        <v>59</v>
      </c>
      <c r="V200" s="38" t="s">
        <v>100</v>
      </c>
      <c r="W200" s="40" t="s">
        <v>59</v>
      </c>
      <c r="X200" s="13" t="s">
        <v>59</v>
      </c>
      <c r="Y200" s="13" t="s">
        <v>59</v>
      </c>
      <c r="Z200" s="13" t="s">
        <v>59</v>
      </c>
      <c r="AA200" s="13" t="s">
        <v>59</v>
      </c>
      <c r="AB200" s="41" t="s">
        <v>59</v>
      </c>
      <c r="AC200" s="16" t="s">
        <v>59</v>
      </c>
      <c r="AD200" s="42" t="s">
        <v>59</v>
      </c>
      <c r="AE200" s="42">
        <v>3.3</v>
      </c>
      <c r="AF200" s="42">
        <v>0.4</v>
      </c>
      <c r="AG200" s="43" t="s">
        <v>59</v>
      </c>
      <c r="AH200" s="43" t="s">
        <v>59</v>
      </c>
      <c r="AI200" s="43" t="s">
        <v>59</v>
      </c>
      <c r="AJ200" s="17" t="s">
        <v>59</v>
      </c>
      <c r="AK200" s="17" t="s">
        <v>59</v>
      </c>
      <c r="AL200" s="17">
        <v>2.1214285714285714</v>
      </c>
      <c r="AM200" s="17" t="s">
        <v>59</v>
      </c>
      <c r="AN200" s="17" t="s">
        <v>59</v>
      </c>
      <c r="AO200" s="44" t="s">
        <v>61</v>
      </c>
    </row>
    <row r="201" spans="1:41" ht="12" customHeight="1" x14ac:dyDescent="0.35">
      <c r="A201" s="29" t="s">
        <v>68</v>
      </c>
      <c r="B201" s="30" t="s">
        <v>111</v>
      </c>
      <c r="C201" s="29">
        <v>78</v>
      </c>
      <c r="D201" s="29" t="s">
        <v>112</v>
      </c>
      <c r="E201" s="31" t="s">
        <v>113</v>
      </c>
      <c r="F201" s="29">
        <v>2874</v>
      </c>
      <c r="G201" s="29" t="s">
        <v>59</v>
      </c>
      <c r="H201" s="32">
        <v>46101</v>
      </c>
      <c r="I201" s="33">
        <v>46101</v>
      </c>
      <c r="J201" s="34" t="s">
        <v>79</v>
      </c>
      <c r="K201" s="35">
        <v>0.74930555555555556</v>
      </c>
      <c r="L201" s="35">
        <v>0.76527777777777772</v>
      </c>
      <c r="M201" s="36">
        <v>0.62430555555555556</v>
      </c>
      <c r="N201" s="35">
        <v>0.64027777777777772</v>
      </c>
      <c r="O201" s="37">
        <f>IF(N201&gt;M201,N201-M201,(N201+1)-M201)</f>
        <v>1.5972222222222165E-2</v>
      </c>
      <c r="P201" s="29" t="s">
        <v>114</v>
      </c>
      <c r="Q201" s="29" t="s">
        <v>115</v>
      </c>
      <c r="R201" s="29" t="s">
        <v>116</v>
      </c>
      <c r="S201" s="38" t="s">
        <v>46</v>
      </c>
      <c r="T201" s="39" t="s">
        <v>73</v>
      </c>
      <c r="U201" s="39" t="s">
        <v>59</v>
      </c>
      <c r="V201" s="38" t="s">
        <v>100</v>
      </c>
      <c r="W201" s="40" t="s">
        <v>59</v>
      </c>
      <c r="X201" s="13" t="s">
        <v>59</v>
      </c>
      <c r="Y201" s="13" t="s">
        <v>59</v>
      </c>
      <c r="Z201" s="13" t="s">
        <v>59</v>
      </c>
      <c r="AA201" s="13" t="s">
        <v>59</v>
      </c>
      <c r="AB201" s="41" t="s">
        <v>59</v>
      </c>
      <c r="AC201" s="16" t="s">
        <v>59</v>
      </c>
      <c r="AD201" s="42" t="s">
        <v>59</v>
      </c>
      <c r="AE201" s="42">
        <v>5.77</v>
      </c>
      <c r="AF201" s="42">
        <v>0.05</v>
      </c>
      <c r="AG201" s="43" t="s">
        <v>59</v>
      </c>
      <c r="AH201" s="43" t="s">
        <v>59</v>
      </c>
      <c r="AI201" s="43" t="s">
        <v>59</v>
      </c>
      <c r="AJ201" s="17" t="s">
        <v>59</v>
      </c>
      <c r="AK201" s="17" t="s">
        <v>59</v>
      </c>
      <c r="AL201" s="17">
        <v>2.2157661388113619</v>
      </c>
      <c r="AM201" s="17" t="s">
        <v>59</v>
      </c>
      <c r="AN201" s="17" t="s">
        <v>59</v>
      </c>
      <c r="AO201" s="44" t="s">
        <v>61</v>
      </c>
    </row>
    <row r="202" spans="1:41" ht="12" customHeight="1" x14ac:dyDescent="0.35">
      <c r="A202" s="29" t="s">
        <v>96</v>
      </c>
      <c r="B202" s="30" t="s">
        <v>127</v>
      </c>
      <c r="C202" s="29">
        <v>5</v>
      </c>
      <c r="D202" s="29" t="s">
        <v>128</v>
      </c>
      <c r="E202" s="31" t="s">
        <v>129</v>
      </c>
      <c r="F202" s="29">
        <v>21831</v>
      </c>
      <c r="G202" s="29" t="s">
        <v>59</v>
      </c>
      <c r="H202" s="32">
        <v>46101</v>
      </c>
      <c r="I202" s="33">
        <v>46101</v>
      </c>
      <c r="J202" s="34" t="s">
        <v>79</v>
      </c>
      <c r="K202" s="35">
        <v>0.71370370370370373</v>
      </c>
      <c r="L202" s="35">
        <v>0.75780092592592596</v>
      </c>
      <c r="M202" s="36">
        <v>0.79703703703703699</v>
      </c>
      <c r="N202" s="35">
        <v>0.84113425925925922</v>
      </c>
      <c r="O202" s="37">
        <f>IF(N202&gt;M202,N202-M202,(N202+1)-M202)</f>
        <v>4.4097222222222232E-2</v>
      </c>
      <c r="P202" s="29" t="s">
        <v>130</v>
      </c>
      <c r="Q202" s="29" t="s">
        <v>59</v>
      </c>
      <c r="R202" s="29" t="s">
        <v>130</v>
      </c>
      <c r="S202" s="38" t="s">
        <v>46</v>
      </c>
      <c r="T202" s="39" t="s">
        <v>73</v>
      </c>
      <c r="U202" s="39" t="s">
        <v>59</v>
      </c>
      <c r="V202" s="38" t="s">
        <v>100</v>
      </c>
      <c r="W202" s="40" t="s">
        <v>59</v>
      </c>
      <c r="X202" s="13" t="s">
        <v>59</v>
      </c>
      <c r="Y202" s="13" t="s">
        <v>59</v>
      </c>
      <c r="Z202" s="13" t="s">
        <v>59</v>
      </c>
      <c r="AA202" s="13" t="s">
        <v>59</v>
      </c>
      <c r="AB202" s="41" t="s">
        <v>59</v>
      </c>
      <c r="AC202" s="16" t="s">
        <v>59</v>
      </c>
      <c r="AD202" s="42" t="s">
        <v>59</v>
      </c>
      <c r="AE202" s="42">
        <v>13.6</v>
      </c>
      <c r="AF202" s="42">
        <v>0.6</v>
      </c>
      <c r="AG202" s="43" t="s">
        <v>59</v>
      </c>
      <c r="AH202" s="43" t="s">
        <v>59</v>
      </c>
      <c r="AI202" s="43" t="s">
        <v>59</v>
      </c>
      <c r="AJ202" s="17" t="s">
        <v>59</v>
      </c>
      <c r="AK202" s="17" t="s">
        <v>59</v>
      </c>
      <c r="AL202" s="17">
        <v>2.2666666666666666</v>
      </c>
      <c r="AM202" s="17" t="s">
        <v>59</v>
      </c>
      <c r="AN202" s="17" t="s">
        <v>59</v>
      </c>
      <c r="AO202" s="44" t="s">
        <v>61</v>
      </c>
    </row>
    <row r="203" spans="1:41" ht="12" customHeight="1" x14ac:dyDescent="0.35">
      <c r="A203" s="29" t="s">
        <v>96</v>
      </c>
      <c r="B203" s="30" t="s">
        <v>127</v>
      </c>
      <c r="C203" s="29">
        <v>5</v>
      </c>
      <c r="D203" s="29" t="s">
        <v>128</v>
      </c>
      <c r="E203" s="31" t="s">
        <v>129</v>
      </c>
      <c r="F203" s="29">
        <v>21831</v>
      </c>
      <c r="G203" s="29" t="s">
        <v>59</v>
      </c>
      <c r="H203" s="32">
        <v>46102</v>
      </c>
      <c r="I203" s="33">
        <v>46102</v>
      </c>
      <c r="J203" s="34" t="s">
        <v>71</v>
      </c>
      <c r="K203" s="35">
        <v>0.72471064814814812</v>
      </c>
      <c r="L203" s="35">
        <v>0.85452546296296295</v>
      </c>
      <c r="M203" s="36">
        <v>0.80804398148148149</v>
      </c>
      <c r="N203" s="35">
        <v>0.93785879629629632</v>
      </c>
      <c r="O203" s="37">
        <f>IF(N203&gt;M203,N203-M203,(N203+1)-M203)</f>
        <v>0.12981481481481483</v>
      </c>
      <c r="P203" s="29" t="s">
        <v>130</v>
      </c>
      <c r="Q203" s="29" t="s">
        <v>59</v>
      </c>
      <c r="R203" s="29" t="s">
        <v>130</v>
      </c>
      <c r="S203" s="38" t="s">
        <v>46</v>
      </c>
      <c r="T203" s="39" t="s">
        <v>73</v>
      </c>
      <c r="U203" s="39" t="s">
        <v>59</v>
      </c>
      <c r="V203" s="38" t="s">
        <v>104</v>
      </c>
      <c r="W203" s="40" t="s">
        <v>59</v>
      </c>
      <c r="X203" s="13" t="s">
        <v>59</v>
      </c>
      <c r="Y203" s="13" t="s">
        <v>59</v>
      </c>
      <c r="Z203" s="13" t="s">
        <v>59</v>
      </c>
      <c r="AA203" s="13" t="s">
        <v>59</v>
      </c>
      <c r="AB203" s="41" t="s">
        <v>59</v>
      </c>
      <c r="AC203" s="16" t="s">
        <v>59</v>
      </c>
      <c r="AD203" s="42" t="s">
        <v>59</v>
      </c>
      <c r="AE203" s="42">
        <v>14.2</v>
      </c>
      <c r="AF203" s="42">
        <v>0.7</v>
      </c>
      <c r="AG203" s="43" t="s">
        <v>59</v>
      </c>
      <c r="AH203" s="43" t="s">
        <v>59</v>
      </c>
      <c r="AI203" s="43" t="s">
        <v>59</v>
      </c>
      <c r="AJ203" s="17" t="s">
        <v>59</v>
      </c>
      <c r="AK203" s="17" t="s">
        <v>59</v>
      </c>
      <c r="AL203" s="17">
        <v>2.3666666666666667</v>
      </c>
      <c r="AM203" s="17" t="s">
        <v>59</v>
      </c>
      <c r="AN203" s="17" t="s">
        <v>59</v>
      </c>
      <c r="AO203" s="44" t="s">
        <v>61</v>
      </c>
    </row>
    <row r="204" spans="1:41" ht="12" customHeight="1" x14ac:dyDescent="0.35">
      <c r="A204" s="29" t="s">
        <v>96</v>
      </c>
      <c r="B204" s="30" t="s">
        <v>97</v>
      </c>
      <c r="C204" s="29">
        <v>1</v>
      </c>
      <c r="D204" s="29" t="s">
        <v>98</v>
      </c>
      <c r="E204" s="31" t="s">
        <v>366</v>
      </c>
      <c r="F204" s="29">
        <v>2661</v>
      </c>
      <c r="G204" s="29" t="s">
        <v>59</v>
      </c>
      <c r="H204" s="32">
        <v>46101</v>
      </c>
      <c r="I204" s="33">
        <v>46101</v>
      </c>
      <c r="J204" s="34" t="s">
        <v>79</v>
      </c>
      <c r="K204" s="35">
        <v>0.375</v>
      </c>
      <c r="L204" s="35">
        <v>0.54292824074074075</v>
      </c>
      <c r="M204" s="36">
        <v>0.41666666666666669</v>
      </c>
      <c r="N204" s="35">
        <v>0.58459490740740738</v>
      </c>
      <c r="O204" s="37">
        <f>IF(N204&gt;M204,N204-M204,(N204+1)-M204)</f>
        <v>0.1679282407407407</v>
      </c>
      <c r="P204" s="29" t="s">
        <v>101</v>
      </c>
      <c r="Q204" s="29" t="s">
        <v>59</v>
      </c>
      <c r="R204" s="29" t="s">
        <v>101</v>
      </c>
      <c r="S204" s="38" t="s">
        <v>46</v>
      </c>
      <c r="T204" s="39" t="s">
        <v>73</v>
      </c>
      <c r="U204" s="39" t="s">
        <v>59</v>
      </c>
      <c r="V204" s="38" t="s">
        <v>100</v>
      </c>
      <c r="W204" s="40" t="s">
        <v>59</v>
      </c>
      <c r="X204" s="13" t="s">
        <v>59</v>
      </c>
      <c r="Y204" s="13" t="s">
        <v>59</v>
      </c>
      <c r="Z204" s="13" t="s">
        <v>59</v>
      </c>
      <c r="AA204" s="13" t="s">
        <v>59</v>
      </c>
      <c r="AB204" s="41" t="s">
        <v>59</v>
      </c>
      <c r="AC204" s="16" t="s">
        <v>59</v>
      </c>
      <c r="AD204" s="42" t="s">
        <v>59</v>
      </c>
      <c r="AE204" s="42">
        <v>3.7</v>
      </c>
      <c r="AF204" s="42">
        <v>0.8</v>
      </c>
      <c r="AG204" s="43" t="s">
        <v>59</v>
      </c>
      <c r="AH204" s="43" t="s">
        <v>59</v>
      </c>
      <c r="AI204" s="43" t="s">
        <v>59</v>
      </c>
      <c r="AJ204" s="17" t="s">
        <v>59</v>
      </c>
      <c r="AK204" s="17" t="s">
        <v>59</v>
      </c>
      <c r="AL204" s="17">
        <v>2.3785714285714286</v>
      </c>
      <c r="AM204" s="17" t="s">
        <v>59</v>
      </c>
      <c r="AN204" s="17" t="s">
        <v>59</v>
      </c>
      <c r="AO204" s="44" t="s">
        <v>61</v>
      </c>
    </row>
    <row r="205" spans="1:41" ht="12" customHeight="1" x14ac:dyDescent="0.35">
      <c r="A205" s="29" t="s">
        <v>68</v>
      </c>
      <c r="B205" s="30" t="s">
        <v>111</v>
      </c>
      <c r="C205" s="29">
        <v>78</v>
      </c>
      <c r="D205" s="29" t="s">
        <v>112</v>
      </c>
      <c r="E205" s="31" t="s">
        <v>113</v>
      </c>
      <c r="F205" s="29">
        <v>2874</v>
      </c>
      <c r="G205" s="29" t="s">
        <v>59</v>
      </c>
      <c r="H205" s="32">
        <v>46101</v>
      </c>
      <c r="I205" s="33">
        <v>46101</v>
      </c>
      <c r="J205" s="34" t="s">
        <v>79</v>
      </c>
      <c r="K205" s="35">
        <v>0.46388888888888891</v>
      </c>
      <c r="L205" s="35">
        <v>0.46944444444444444</v>
      </c>
      <c r="M205" s="36">
        <v>0.33888888888888891</v>
      </c>
      <c r="N205" s="35">
        <v>0.34444444444444444</v>
      </c>
      <c r="O205" s="37">
        <f>IF(N205&gt;M205,N205-M205,(N205+1)-M205)</f>
        <v>5.5555555555555358E-3</v>
      </c>
      <c r="P205" s="29" t="s">
        <v>114</v>
      </c>
      <c r="Q205" s="29" t="s">
        <v>117</v>
      </c>
      <c r="R205" s="29" t="s">
        <v>118</v>
      </c>
      <c r="S205" s="38" t="s">
        <v>46</v>
      </c>
      <c r="T205" s="39" t="s">
        <v>73</v>
      </c>
      <c r="U205" s="39" t="s">
        <v>59</v>
      </c>
      <c r="V205" s="38" t="s">
        <v>100</v>
      </c>
      <c r="W205" s="40" t="s">
        <v>59</v>
      </c>
      <c r="X205" s="13" t="s">
        <v>59</v>
      </c>
      <c r="Y205" s="13" t="s">
        <v>59</v>
      </c>
      <c r="Z205" s="13" t="s">
        <v>59</v>
      </c>
      <c r="AA205" s="13" t="s">
        <v>59</v>
      </c>
      <c r="AB205" s="41" t="s">
        <v>59</v>
      </c>
      <c r="AC205" s="16" t="s">
        <v>59</v>
      </c>
      <c r="AD205" s="42" t="s">
        <v>59</v>
      </c>
      <c r="AE205" s="42">
        <v>6.52</v>
      </c>
      <c r="AF205" s="42">
        <v>0.1</v>
      </c>
      <c r="AG205" s="43" t="s">
        <v>59</v>
      </c>
      <c r="AH205" s="43" t="s">
        <v>59</v>
      </c>
      <c r="AI205" s="43" t="s">
        <v>59</v>
      </c>
      <c r="AJ205" s="17" t="s">
        <v>59</v>
      </c>
      <c r="AK205" s="17" t="s">
        <v>59</v>
      </c>
      <c r="AL205" s="17">
        <v>2.5037773353639654</v>
      </c>
      <c r="AM205" s="17" t="s">
        <v>59</v>
      </c>
      <c r="AN205" s="17" t="s">
        <v>59</v>
      </c>
      <c r="AO205" s="44" t="s">
        <v>61</v>
      </c>
    </row>
    <row r="206" spans="1:41" ht="12" customHeight="1" x14ac:dyDescent="0.35">
      <c r="A206" s="29" t="s">
        <v>68</v>
      </c>
      <c r="B206" s="30" t="s">
        <v>111</v>
      </c>
      <c r="C206" s="29">
        <v>78</v>
      </c>
      <c r="D206" s="29" t="s">
        <v>112</v>
      </c>
      <c r="E206" s="31" t="s">
        <v>113</v>
      </c>
      <c r="F206" s="29">
        <v>2874</v>
      </c>
      <c r="G206" s="29" t="s">
        <v>59</v>
      </c>
      <c r="H206" s="32">
        <v>46102</v>
      </c>
      <c r="I206" s="33">
        <v>46102</v>
      </c>
      <c r="J206" s="34" t="s">
        <v>71</v>
      </c>
      <c r="K206" s="35">
        <v>0.45208333333333334</v>
      </c>
      <c r="L206" s="35">
        <v>0.45624999999999999</v>
      </c>
      <c r="M206" s="36">
        <v>0.32708333333333334</v>
      </c>
      <c r="N206" s="35">
        <v>0.33124999999999999</v>
      </c>
      <c r="O206" s="37">
        <f>IF(N206&gt;M206,N206-M206,(N206+1)-M206)</f>
        <v>4.1666666666666519E-3</v>
      </c>
      <c r="P206" s="29" t="s">
        <v>114</v>
      </c>
      <c r="Q206" s="29" t="s">
        <v>115</v>
      </c>
      <c r="R206" s="29" t="s">
        <v>116</v>
      </c>
      <c r="S206" s="38" t="s">
        <v>46</v>
      </c>
      <c r="T206" s="39" t="s">
        <v>73</v>
      </c>
      <c r="U206" s="39" t="s">
        <v>59</v>
      </c>
      <c r="V206" s="38" t="s">
        <v>104</v>
      </c>
      <c r="W206" s="40" t="s">
        <v>59</v>
      </c>
      <c r="X206" s="13" t="s">
        <v>59</v>
      </c>
      <c r="Y206" s="13" t="s">
        <v>59</v>
      </c>
      <c r="Z206" s="13" t="s">
        <v>59</v>
      </c>
      <c r="AA206" s="13" t="s">
        <v>59</v>
      </c>
      <c r="AB206" s="41" t="s">
        <v>59</v>
      </c>
      <c r="AC206" s="16" t="s">
        <v>59</v>
      </c>
      <c r="AD206" s="42" t="s">
        <v>59</v>
      </c>
      <c r="AE206" s="42">
        <v>6.76</v>
      </c>
      <c r="AF206" s="42">
        <v>0.13</v>
      </c>
      <c r="AG206" s="43" t="s">
        <v>59</v>
      </c>
      <c r="AH206" s="43" t="s">
        <v>59</v>
      </c>
      <c r="AI206" s="43" t="s">
        <v>59</v>
      </c>
      <c r="AJ206" s="17" t="s">
        <v>59</v>
      </c>
      <c r="AK206" s="17" t="s">
        <v>59</v>
      </c>
      <c r="AL206" s="17">
        <v>2.5959409182607986</v>
      </c>
      <c r="AM206" s="17" t="s">
        <v>59</v>
      </c>
      <c r="AN206" s="17" t="s">
        <v>59</v>
      </c>
      <c r="AO206" s="44" t="s">
        <v>61</v>
      </c>
    </row>
    <row r="207" spans="1:41" ht="12" customHeight="1" x14ac:dyDescent="0.35">
      <c r="A207" s="29" t="s">
        <v>65</v>
      </c>
      <c r="B207" s="30" t="s">
        <v>60</v>
      </c>
      <c r="C207" s="29">
        <v>39</v>
      </c>
      <c r="D207" s="29" t="s">
        <v>66</v>
      </c>
      <c r="E207" s="31" t="s">
        <v>370</v>
      </c>
      <c r="F207" s="29">
        <v>33341</v>
      </c>
      <c r="G207" s="29" t="s">
        <v>59</v>
      </c>
      <c r="H207" s="32">
        <v>46104</v>
      </c>
      <c r="I207" s="33">
        <v>46104</v>
      </c>
      <c r="J207" s="34" t="s">
        <v>67</v>
      </c>
      <c r="K207" s="35">
        <v>0.73743055555555559</v>
      </c>
      <c r="L207" s="35">
        <v>0.89458333333333329</v>
      </c>
      <c r="M207" s="36">
        <v>0.82076388888888885</v>
      </c>
      <c r="N207" s="35">
        <v>0.97791666666666666</v>
      </c>
      <c r="O207" s="37">
        <f>IF(N207&gt;M207,N207-M207,(N207+1)-M207)</f>
        <v>0.15715277777777781</v>
      </c>
      <c r="P207" s="29" t="s">
        <v>225</v>
      </c>
      <c r="Q207" s="29" t="s">
        <v>59</v>
      </c>
      <c r="R207" s="29" t="s">
        <v>225</v>
      </c>
      <c r="S207" s="38" t="s">
        <v>48</v>
      </c>
      <c r="T207" s="39" t="s">
        <v>73</v>
      </c>
      <c r="U207" s="39" t="s">
        <v>59</v>
      </c>
      <c r="V207" s="38" t="s">
        <v>107</v>
      </c>
      <c r="W207" s="40" t="s">
        <v>59</v>
      </c>
      <c r="X207" s="13" t="s">
        <v>59</v>
      </c>
      <c r="Y207" s="13" t="s">
        <v>59</v>
      </c>
      <c r="Z207" s="13" t="s">
        <v>59</v>
      </c>
      <c r="AA207" s="13" t="s">
        <v>59</v>
      </c>
      <c r="AB207" s="41" t="s">
        <v>59</v>
      </c>
      <c r="AC207" s="16" t="s">
        <v>59</v>
      </c>
      <c r="AD207" s="42" t="s">
        <v>59</v>
      </c>
      <c r="AE207" s="42">
        <v>3.9</v>
      </c>
      <c r="AF207" s="42">
        <v>0.04</v>
      </c>
      <c r="AG207" s="43" t="s">
        <v>59</v>
      </c>
      <c r="AH207" s="43" t="s">
        <v>59</v>
      </c>
      <c r="AI207" s="43" t="s">
        <v>59</v>
      </c>
      <c r="AJ207" s="17" t="s">
        <v>59</v>
      </c>
      <c r="AK207" s="17" t="s">
        <v>59</v>
      </c>
      <c r="AL207" s="17">
        <v>2.6</v>
      </c>
      <c r="AM207" s="17" t="s">
        <v>59</v>
      </c>
      <c r="AN207" s="17" t="s">
        <v>59</v>
      </c>
      <c r="AO207" s="44" t="s">
        <v>61</v>
      </c>
    </row>
    <row r="208" spans="1:41" ht="12" customHeight="1" x14ac:dyDescent="0.35">
      <c r="A208" s="29" t="s">
        <v>96</v>
      </c>
      <c r="B208" s="30" t="s">
        <v>238</v>
      </c>
      <c r="C208" s="29">
        <v>6</v>
      </c>
      <c r="D208" s="29" t="s">
        <v>239</v>
      </c>
      <c r="E208" s="31" t="s">
        <v>240</v>
      </c>
      <c r="F208" s="29">
        <v>3164</v>
      </c>
      <c r="G208" s="29" t="s">
        <v>59</v>
      </c>
      <c r="H208" s="32">
        <v>46101</v>
      </c>
      <c r="I208" s="33">
        <v>46101</v>
      </c>
      <c r="J208" s="34" t="s">
        <v>79</v>
      </c>
      <c r="K208" s="35">
        <v>0.54017361111111106</v>
      </c>
      <c r="L208" s="35">
        <v>0.54142361111111115</v>
      </c>
      <c r="M208" s="36">
        <v>0.5818402777777778</v>
      </c>
      <c r="N208" s="35">
        <v>0.58309027777777778</v>
      </c>
      <c r="O208" s="37">
        <f>IF(N208&gt;M208,N208-M208,(N208+1)-M208)</f>
        <v>1.2499999999999734E-3</v>
      </c>
      <c r="P208" s="29" t="s">
        <v>241</v>
      </c>
      <c r="Q208" s="29" t="s">
        <v>244</v>
      </c>
      <c r="R208" s="29" t="s">
        <v>245</v>
      </c>
      <c r="S208" s="38" t="s">
        <v>49</v>
      </c>
      <c r="T208" s="39" t="s">
        <v>73</v>
      </c>
      <c r="U208" s="39" t="s">
        <v>59</v>
      </c>
      <c r="V208" s="38" t="s">
        <v>100</v>
      </c>
      <c r="W208" s="40" t="s">
        <v>59</v>
      </c>
      <c r="X208" s="13" t="s">
        <v>59</v>
      </c>
      <c r="Y208" s="13" t="s">
        <v>59</v>
      </c>
      <c r="Z208" s="13" t="s">
        <v>59</v>
      </c>
      <c r="AA208" s="13" t="s">
        <v>59</v>
      </c>
      <c r="AB208" s="41" t="s">
        <v>59</v>
      </c>
      <c r="AC208" s="16" t="s">
        <v>59</v>
      </c>
      <c r="AD208" s="42" t="s">
        <v>59</v>
      </c>
      <c r="AE208" s="42">
        <v>3.3</v>
      </c>
      <c r="AF208" s="42">
        <v>1.1000000000000001</v>
      </c>
      <c r="AG208" s="43" t="s">
        <v>59</v>
      </c>
      <c r="AH208" s="43" t="s">
        <v>59</v>
      </c>
      <c r="AI208" s="43" t="s">
        <v>59</v>
      </c>
      <c r="AJ208" s="17" t="s">
        <v>59</v>
      </c>
      <c r="AK208" s="17" t="s">
        <v>59</v>
      </c>
      <c r="AL208" s="17">
        <v>2.6589749999999999</v>
      </c>
      <c r="AM208" s="17" t="s">
        <v>59</v>
      </c>
      <c r="AN208" s="17" t="s">
        <v>59</v>
      </c>
      <c r="AO208" s="44" t="s">
        <v>61</v>
      </c>
    </row>
    <row r="209" spans="1:41" ht="12" customHeight="1" x14ac:dyDescent="0.35">
      <c r="A209" s="29" t="s">
        <v>96</v>
      </c>
      <c r="B209" s="30" t="s">
        <v>212</v>
      </c>
      <c r="C209" s="29">
        <v>128</v>
      </c>
      <c r="D209" s="29" t="s">
        <v>213</v>
      </c>
      <c r="E209" s="31" t="s">
        <v>214</v>
      </c>
      <c r="F209" s="29">
        <v>1160</v>
      </c>
      <c r="G209" s="29" t="s">
        <v>59</v>
      </c>
      <c r="H209" s="32">
        <v>46103</v>
      </c>
      <c r="I209" s="33">
        <v>46103</v>
      </c>
      <c r="J209" s="34" t="s">
        <v>74</v>
      </c>
      <c r="K209" s="35">
        <v>4.1666666666666664E-2</v>
      </c>
      <c r="L209" s="35">
        <v>0.1907986111111111</v>
      </c>
      <c r="M209" s="36">
        <v>8.3333333333333329E-2</v>
      </c>
      <c r="N209" s="35">
        <v>0.23246527777777778</v>
      </c>
      <c r="O209" s="37">
        <f>IF(N209&gt;M209,N209-M209,(N209+1)-M209)</f>
        <v>0.14913194444444444</v>
      </c>
      <c r="P209" s="29" t="s">
        <v>218</v>
      </c>
      <c r="Q209" s="29" t="s">
        <v>216</v>
      </c>
      <c r="R209" s="29" t="s">
        <v>219</v>
      </c>
      <c r="S209" s="38" t="s">
        <v>48</v>
      </c>
      <c r="T209" s="39" t="s">
        <v>73</v>
      </c>
      <c r="U209" s="39" t="s">
        <v>59</v>
      </c>
      <c r="V209" s="38" t="s">
        <v>104</v>
      </c>
      <c r="W209" s="40" t="s">
        <v>59</v>
      </c>
      <c r="X209" s="13" t="s">
        <v>59</v>
      </c>
      <c r="Y209" s="13" t="s">
        <v>59</v>
      </c>
      <c r="Z209" s="13" t="s">
        <v>59</v>
      </c>
      <c r="AA209" s="13" t="s">
        <v>59</v>
      </c>
      <c r="AB209" s="41" t="s">
        <v>59</v>
      </c>
      <c r="AC209" s="16" t="s">
        <v>59</v>
      </c>
      <c r="AD209" s="42" t="s">
        <v>59</v>
      </c>
      <c r="AE209" s="42">
        <v>14.6</v>
      </c>
      <c r="AF209" s="42">
        <v>2.5099999999999998</v>
      </c>
      <c r="AG209" s="43" t="s">
        <v>59</v>
      </c>
      <c r="AH209" s="43" t="s">
        <v>59</v>
      </c>
      <c r="AI209" s="43" t="s">
        <v>59</v>
      </c>
      <c r="AJ209" s="17" t="s">
        <v>59</v>
      </c>
      <c r="AK209" s="17" t="s">
        <v>59</v>
      </c>
      <c r="AL209" s="17">
        <v>2.7009340884839528</v>
      </c>
      <c r="AM209" s="17" t="s">
        <v>59</v>
      </c>
      <c r="AN209" s="17" t="s">
        <v>59</v>
      </c>
      <c r="AO209" s="44" t="s">
        <v>61</v>
      </c>
    </row>
    <row r="210" spans="1:41" ht="12" customHeight="1" x14ac:dyDescent="0.35">
      <c r="A210" s="29" t="s">
        <v>68</v>
      </c>
      <c r="B210" s="30" t="s">
        <v>111</v>
      </c>
      <c r="C210" s="29">
        <v>78</v>
      </c>
      <c r="D210" s="29" t="s">
        <v>112</v>
      </c>
      <c r="E210" s="31" t="s">
        <v>121</v>
      </c>
      <c r="F210" s="29">
        <v>4586</v>
      </c>
      <c r="G210" s="29" t="s">
        <v>59</v>
      </c>
      <c r="H210" s="32">
        <v>46103</v>
      </c>
      <c r="I210" s="33">
        <v>46103</v>
      </c>
      <c r="J210" s="34" t="s">
        <v>74</v>
      </c>
      <c r="K210" s="35">
        <v>0.82638888888888884</v>
      </c>
      <c r="L210" s="35">
        <v>0.82986111111111116</v>
      </c>
      <c r="M210" s="36">
        <v>0.70138888888888884</v>
      </c>
      <c r="N210" s="35">
        <v>0.70486111111111116</v>
      </c>
      <c r="O210" s="37">
        <f>IF(N210&gt;M210,N210-M210,(N210+1)-M210)</f>
        <v>3.4722222222223209E-3</v>
      </c>
      <c r="P210" s="29" t="s">
        <v>114</v>
      </c>
      <c r="Q210" s="29" t="s">
        <v>117</v>
      </c>
      <c r="R210" s="29" t="s">
        <v>118</v>
      </c>
      <c r="S210" s="38" t="s">
        <v>46</v>
      </c>
      <c r="T210" s="39" t="s">
        <v>73</v>
      </c>
      <c r="U210" s="39" t="s">
        <v>59</v>
      </c>
      <c r="V210" s="38" t="s">
        <v>107</v>
      </c>
      <c r="W210" s="40" t="s">
        <v>59</v>
      </c>
      <c r="X210" s="13" t="s">
        <v>59</v>
      </c>
      <c r="Y210" s="13" t="s">
        <v>59</v>
      </c>
      <c r="Z210" s="13" t="s">
        <v>59</v>
      </c>
      <c r="AA210" s="13" t="s">
        <v>59</v>
      </c>
      <c r="AB210" s="41" t="s">
        <v>59</v>
      </c>
      <c r="AC210" s="16" t="s">
        <v>59</v>
      </c>
      <c r="AD210" s="42" t="s">
        <v>59</v>
      </c>
      <c r="AE210" s="42">
        <v>16.28</v>
      </c>
      <c r="AF210" s="42">
        <v>0.1</v>
      </c>
      <c r="AG210" s="43" t="s">
        <v>59</v>
      </c>
      <c r="AH210" s="43" t="s">
        <v>59</v>
      </c>
      <c r="AI210" s="43" t="s">
        <v>59</v>
      </c>
      <c r="AJ210" s="17" t="s">
        <v>59</v>
      </c>
      <c r="AK210" s="17" t="s">
        <v>59</v>
      </c>
      <c r="AL210" s="17">
        <v>2.7306421069503721</v>
      </c>
      <c r="AM210" s="17" t="s">
        <v>59</v>
      </c>
      <c r="AN210" s="17" t="s">
        <v>59</v>
      </c>
      <c r="AO210" s="44" t="s">
        <v>61</v>
      </c>
    </row>
    <row r="211" spans="1:41" ht="12" customHeight="1" x14ac:dyDescent="0.35">
      <c r="A211" s="29" t="s">
        <v>96</v>
      </c>
      <c r="B211" s="30" t="s">
        <v>212</v>
      </c>
      <c r="C211" s="29">
        <v>128</v>
      </c>
      <c r="D211" s="29" t="s">
        <v>213</v>
      </c>
      <c r="E211" s="31" t="s">
        <v>214</v>
      </c>
      <c r="F211" s="29">
        <v>1160</v>
      </c>
      <c r="G211" s="29"/>
      <c r="H211" s="32">
        <v>46101</v>
      </c>
      <c r="I211" s="33">
        <v>46101</v>
      </c>
      <c r="J211" s="34" t="s">
        <v>79</v>
      </c>
      <c r="K211" s="35">
        <v>0.38861111111111113</v>
      </c>
      <c r="L211" s="35">
        <v>0.41586805555555556</v>
      </c>
      <c r="M211" s="36">
        <v>0.43027777777777776</v>
      </c>
      <c r="N211" s="35">
        <v>0.45753472222222225</v>
      </c>
      <c r="O211" s="37">
        <f>IF(N211&gt;M211,N211-M211,(N211+1)-M211)</f>
        <v>2.7256944444444486E-2</v>
      </c>
      <c r="P211" s="29" t="s">
        <v>215</v>
      </c>
      <c r="Q211" s="29" t="s">
        <v>216</v>
      </c>
      <c r="R211" s="29" t="s">
        <v>217</v>
      </c>
      <c r="S211" s="38" t="s">
        <v>46</v>
      </c>
      <c r="T211" s="39" t="s">
        <v>73</v>
      </c>
      <c r="U211" s="39" t="s">
        <v>59</v>
      </c>
      <c r="V211" s="38" t="s">
        <v>100</v>
      </c>
      <c r="W211" s="40" t="s">
        <v>59</v>
      </c>
      <c r="X211" s="13" t="s">
        <v>59</v>
      </c>
      <c r="Y211" s="13" t="s">
        <v>59</v>
      </c>
      <c r="Z211" s="13" t="s">
        <v>59</v>
      </c>
      <c r="AA211" s="13" t="s">
        <v>59</v>
      </c>
      <c r="AB211" s="41" t="s">
        <v>59</v>
      </c>
      <c r="AC211" s="16" t="s">
        <v>59</v>
      </c>
      <c r="AD211" s="42" t="s">
        <v>59</v>
      </c>
      <c r="AE211" s="42">
        <v>8.8000000000000007</v>
      </c>
      <c r="AF211" s="42">
        <v>0.73</v>
      </c>
      <c r="AG211" s="43" t="s">
        <v>59</v>
      </c>
      <c r="AH211" s="43" t="s">
        <v>59</v>
      </c>
      <c r="AI211" s="43" t="s">
        <v>59</v>
      </c>
      <c r="AJ211" s="17" t="s">
        <v>59</v>
      </c>
      <c r="AK211" s="17" t="s">
        <v>59</v>
      </c>
      <c r="AL211" s="17">
        <v>2.7527328244274809</v>
      </c>
      <c r="AM211" s="17" t="s">
        <v>59</v>
      </c>
      <c r="AN211" s="17" t="s">
        <v>59</v>
      </c>
      <c r="AO211" s="44" t="s">
        <v>61</v>
      </c>
    </row>
    <row r="212" spans="1:41" ht="12" customHeight="1" x14ac:dyDescent="0.35">
      <c r="A212" s="29" t="s">
        <v>96</v>
      </c>
      <c r="B212" s="30" t="s">
        <v>200</v>
      </c>
      <c r="C212" s="29">
        <v>26</v>
      </c>
      <c r="D212" s="29" t="s">
        <v>201</v>
      </c>
      <c r="E212" s="31" t="s">
        <v>205</v>
      </c>
      <c r="F212" s="29">
        <v>2724</v>
      </c>
      <c r="G212" s="29" t="s">
        <v>59</v>
      </c>
      <c r="H212" s="32">
        <v>46102</v>
      </c>
      <c r="I212" s="33">
        <v>46102</v>
      </c>
      <c r="J212" s="34" t="s">
        <v>71</v>
      </c>
      <c r="K212" s="35">
        <v>0.36130787037037038</v>
      </c>
      <c r="L212" s="35">
        <v>0.37337962962962962</v>
      </c>
      <c r="M212" s="36">
        <v>0.40297453703703706</v>
      </c>
      <c r="N212" s="35">
        <v>0.4150462962962963</v>
      </c>
      <c r="O212" s="37">
        <f>IF(N212&gt;M212,N212-M212,(N212+1)-M212)</f>
        <v>1.207175925925924E-2</v>
      </c>
      <c r="P212" s="29" t="s">
        <v>207</v>
      </c>
      <c r="Q212" s="29" t="s">
        <v>59</v>
      </c>
      <c r="R212" s="29" t="s">
        <v>207</v>
      </c>
      <c r="S212" s="38" t="s">
        <v>49</v>
      </c>
      <c r="T212" s="39" t="s">
        <v>73</v>
      </c>
      <c r="U212" s="39" t="s">
        <v>59</v>
      </c>
      <c r="V212" s="38" t="s">
        <v>100</v>
      </c>
      <c r="W212" s="40" t="s">
        <v>59</v>
      </c>
      <c r="X212" s="13" t="s">
        <v>59</v>
      </c>
      <c r="Y212" s="13" t="s">
        <v>59</v>
      </c>
      <c r="Z212" s="13" t="s">
        <v>59</v>
      </c>
      <c r="AA212" s="13" t="s">
        <v>59</v>
      </c>
      <c r="AB212" s="41" t="s">
        <v>59</v>
      </c>
      <c r="AC212" s="16" t="s">
        <v>59</v>
      </c>
      <c r="AD212" s="42" t="s">
        <v>59</v>
      </c>
      <c r="AE212" s="42">
        <v>75.3</v>
      </c>
      <c r="AF212" s="42">
        <v>1.39</v>
      </c>
      <c r="AG212" s="43" t="s">
        <v>59</v>
      </c>
      <c r="AH212" s="43" t="s">
        <v>59</v>
      </c>
      <c r="AI212" s="43" t="s">
        <v>59</v>
      </c>
      <c r="AJ212" s="17" t="s">
        <v>59</v>
      </c>
      <c r="AK212" s="17" t="s">
        <v>59</v>
      </c>
      <c r="AL212" s="17">
        <v>2.8150514639095561</v>
      </c>
      <c r="AM212" s="17" t="s">
        <v>59</v>
      </c>
      <c r="AN212" s="17" t="s">
        <v>59</v>
      </c>
      <c r="AO212" s="44" t="s">
        <v>61</v>
      </c>
    </row>
    <row r="213" spans="1:41" ht="12" customHeight="1" x14ac:dyDescent="0.35">
      <c r="A213" s="29" t="s">
        <v>96</v>
      </c>
      <c r="B213" s="30" t="s">
        <v>238</v>
      </c>
      <c r="C213" s="29">
        <v>6</v>
      </c>
      <c r="D213" s="29" t="s">
        <v>239</v>
      </c>
      <c r="E213" s="31" t="s">
        <v>240</v>
      </c>
      <c r="F213" s="29">
        <v>3164</v>
      </c>
      <c r="G213" s="29" t="s">
        <v>59</v>
      </c>
      <c r="H213" s="32">
        <v>46102</v>
      </c>
      <c r="I213" s="33">
        <v>46102</v>
      </c>
      <c r="J213" s="34" t="s">
        <v>71</v>
      </c>
      <c r="K213" s="35">
        <v>0.37503472222222223</v>
      </c>
      <c r="L213" s="35">
        <v>0.3790277777777778</v>
      </c>
      <c r="M213" s="36">
        <v>0.41670138888888891</v>
      </c>
      <c r="N213" s="35">
        <v>0.42069444444444443</v>
      </c>
      <c r="O213" s="37">
        <f>IF(N213&gt;M213,N213-M213,(N213+1)-M213)</f>
        <v>3.9930555555555136E-3</v>
      </c>
      <c r="P213" s="29" t="s">
        <v>241</v>
      </c>
      <c r="Q213" s="29" t="s">
        <v>242</v>
      </c>
      <c r="R213" s="29" t="s">
        <v>243</v>
      </c>
      <c r="S213" s="38" t="s">
        <v>46</v>
      </c>
      <c r="T213" s="39" t="s">
        <v>73</v>
      </c>
      <c r="U213" s="39" t="s">
        <v>59</v>
      </c>
      <c r="V213" s="38" t="s">
        <v>104</v>
      </c>
      <c r="W213" s="40" t="s">
        <v>59</v>
      </c>
      <c r="X213" s="13" t="s">
        <v>59</v>
      </c>
      <c r="Y213" s="13" t="s">
        <v>59</v>
      </c>
      <c r="Z213" s="13" t="s">
        <v>59</v>
      </c>
      <c r="AA213" s="13" t="s">
        <v>59</v>
      </c>
      <c r="AB213" s="41" t="s">
        <v>59</v>
      </c>
      <c r="AC213" s="16" t="s">
        <v>59</v>
      </c>
      <c r="AD213" s="42" t="s">
        <v>59</v>
      </c>
      <c r="AE213" s="42">
        <v>3.6</v>
      </c>
      <c r="AF213" s="42">
        <v>1.2</v>
      </c>
      <c r="AG213" s="43" t="s">
        <v>59</v>
      </c>
      <c r="AH213" s="43" t="s">
        <v>59</v>
      </c>
      <c r="AI213" s="43" t="s">
        <v>59</v>
      </c>
      <c r="AJ213" s="17" t="s">
        <v>59</v>
      </c>
      <c r="AK213" s="17" t="s">
        <v>59</v>
      </c>
      <c r="AL213" s="17">
        <v>2.9007000000000001</v>
      </c>
      <c r="AM213" s="17" t="s">
        <v>59</v>
      </c>
      <c r="AN213" s="17" t="s">
        <v>59</v>
      </c>
      <c r="AO213" s="44" t="s">
        <v>61</v>
      </c>
    </row>
    <row r="214" spans="1:41" ht="12" customHeight="1" x14ac:dyDescent="0.35">
      <c r="A214" s="29" t="s">
        <v>96</v>
      </c>
      <c r="B214" s="30" t="s">
        <v>127</v>
      </c>
      <c r="C214" s="29">
        <v>5</v>
      </c>
      <c r="D214" s="29" t="s">
        <v>128</v>
      </c>
      <c r="E214" s="31" t="s">
        <v>129</v>
      </c>
      <c r="F214" s="29">
        <v>21831</v>
      </c>
      <c r="G214" s="29" t="s">
        <v>59</v>
      </c>
      <c r="H214" s="32">
        <v>46103</v>
      </c>
      <c r="I214" s="33">
        <v>46103</v>
      </c>
      <c r="J214" s="34" t="s">
        <v>74</v>
      </c>
      <c r="K214" s="35">
        <v>0.37465277777777778</v>
      </c>
      <c r="L214" s="35">
        <v>0.47561342592592593</v>
      </c>
      <c r="M214" s="36">
        <v>0.45798611111111109</v>
      </c>
      <c r="N214" s="35">
        <v>0.5589467592592593</v>
      </c>
      <c r="O214" s="37">
        <f>IF(N214&gt;M214,N214-M214,(N214+1)-M214)</f>
        <v>0.1009606481481482</v>
      </c>
      <c r="P214" s="29" t="s">
        <v>130</v>
      </c>
      <c r="Q214" s="29" t="s">
        <v>59</v>
      </c>
      <c r="R214" s="29" t="s">
        <v>130</v>
      </c>
      <c r="S214" s="38" t="s">
        <v>46</v>
      </c>
      <c r="T214" s="39" t="s">
        <v>73</v>
      </c>
      <c r="U214" s="39" t="s">
        <v>59</v>
      </c>
      <c r="V214" s="38" t="s">
        <v>107</v>
      </c>
      <c r="W214" s="40" t="s">
        <v>59</v>
      </c>
      <c r="X214" s="13" t="s">
        <v>59</v>
      </c>
      <c r="Y214" s="13" t="s">
        <v>59</v>
      </c>
      <c r="Z214" s="13" t="s">
        <v>59</v>
      </c>
      <c r="AA214" s="13" t="s">
        <v>59</v>
      </c>
      <c r="AB214" s="41" t="s">
        <v>59</v>
      </c>
      <c r="AC214" s="16" t="s">
        <v>59</v>
      </c>
      <c r="AD214" s="42" t="s">
        <v>59</v>
      </c>
      <c r="AE214" s="42">
        <v>17.7</v>
      </c>
      <c r="AF214" s="42">
        <v>1.3</v>
      </c>
      <c r="AG214" s="43" t="s">
        <v>59</v>
      </c>
      <c r="AH214" s="43" t="s">
        <v>59</v>
      </c>
      <c r="AI214" s="43" t="s">
        <v>59</v>
      </c>
      <c r="AJ214" s="17" t="s">
        <v>59</v>
      </c>
      <c r="AK214" s="17" t="s">
        <v>59</v>
      </c>
      <c r="AL214" s="17">
        <v>2.95</v>
      </c>
      <c r="AM214" s="17" t="s">
        <v>59</v>
      </c>
      <c r="AN214" s="17" t="s">
        <v>59</v>
      </c>
      <c r="AO214" s="44" t="s">
        <v>61</v>
      </c>
    </row>
    <row r="215" spans="1:41" ht="12" customHeight="1" x14ac:dyDescent="0.35">
      <c r="A215" s="29" t="s">
        <v>96</v>
      </c>
      <c r="B215" s="30" t="s">
        <v>97</v>
      </c>
      <c r="C215" s="29">
        <v>1</v>
      </c>
      <c r="D215" s="29" t="s">
        <v>98</v>
      </c>
      <c r="E215" s="31" t="s">
        <v>366</v>
      </c>
      <c r="F215" s="29">
        <v>2661</v>
      </c>
      <c r="G215" s="29" t="s">
        <v>59</v>
      </c>
      <c r="H215" s="32">
        <v>46103</v>
      </c>
      <c r="I215" s="33">
        <v>46103</v>
      </c>
      <c r="J215" s="34" t="s">
        <v>74</v>
      </c>
      <c r="K215" s="35">
        <v>0.375</v>
      </c>
      <c r="L215" s="35">
        <v>0.54567129629629629</v>
      </c>
      <c r="M215" s="36">
        <v>0.41666666666666669</v>
      </c>
      <c r="N215" s="35">
        <v>0.58733796296296292</v>
      </c>
      <c r="O215" s="37">
        <f>IF(N215&gt;M215,N215-M215,(N215+1)-M215)</f>
        <v>0.17067129629629624</v>
      </c>
      <c r="P215" s="29" t="s">
        <v>106</v>
      </c>
      <c r="Q215" s="29" t="s">
        <v>59</v>
      </c>
      <c r="R215" s="29" t="s">
        <v>106</v>
      </c>
      <c r="S215" s="38" t="s">
        <v>46</v>
      </c>
      <c r="T215" s="39" t="s">
        <v>73</v>
      </c>
      <c r="U215" s="39" t="s">
        <v>59</v>
      </c>
      <c r="V215" s="38" t="s">
        <v>107</v>
      </c>
      <c r="W215" s="40" t="s">
        <v>59</v>
      </c>
      <c r="X215" s="13" t="s">
        <v>59</v>
      </c>
      <c r="Y215" s="13" t="s">
        <v>59</v>
      </c>
      <c r="Z215" s="13" t="s">
        <v>59</v>
      </c>
      <c r="AA215" s="13" t="s">
        <v>59</v>
      </c>
      <c r="AB215" s="41" t="s">
        <v>59</v>
      </c>
      <c r="AC215" s="16" t="s">
        <v>59</v>
      </c>
      <c r="AD215" s="42" t="s">
        <v>59</v>
      </c>
      <c r="AE215" s="42">
        <v>4.5999999999999996</v>
      </c>
      <c r="AF215" s="42">
        <v>0.4</v>
      </c>
      <c r="AG215" s="43" t="s">
        <v>59</v>
      </c>
      <c r="AH215" s="43" t="s">
        <v>59</v>
      </c>
      <c r="AI215" s="43" t="s">
        <v>59</v>
      </c>
      <c r="AJ215" s="17" t="s">
        <v>59</v>
      </c>
      <c r="AK215" s="17" t="s">
        <v>59</v>
      </c>
      <c r="AL215" s="17">
        <v>2.9571428571428569</v>
      </c>
      <c r="AM215" s="17" t="s">
        <v>59</v>
      </c>
      <c r="AN215" s="17" t="s">
        <v>59</v>
      </c>
      <c r="AO215" s="44" t="s">
        <v>61</v>
      </c>
    </row>
    <row r="216" spans="1:41" ht="12" customHeight="1" x14ac:dyDescent="0.35">
      <c r="A216" s="29" t="s">
        <v>96</v>
      </c>
      <c r="B216" s="30" t="s">
        <v>238</v>
      </c>
      <c r="C216" s="29">
        <v>6</v>
      </c>
      <c r="D216" s="29" t="s">
        <v>239</v>
      </c>
      <c r="E216" s="31" t="s">
        <v>240</v>
      </c>
      <c r="F216" s="29">
        <v>3164</v>
      </c>
      <c r="G216" s="29" t="s">
        <v>59</v>
      </c>
      <c r="H216" s="32">
        <v>46101</v>
      </c>
      <c r="I216" s="33">
        <v>46101</v>
      </c>
      <c r="J216" s="34" t="s">
        <v>79</v>
      </c>
      <c r="K216" s="35">
        <v>0.85068287037037038</v>
      </c>
      <c r="L216" s="35">
        <v>0.85466435185185186</v>
      </c>
      <c r="M216" s="36">
        <v>0.89234953703703701</v>
      </c>
      <c r="N216" s="35">
        <v>0.89633101851851849</v>
      </c>
      <c r="O216" s="37">
        <f>IF(N216&gt;M216,N216-M216,(N216+1)-M216)</f>
        <v>3.9814814814814747E-3</v>
      </c>
      <c r="P216" s="29" t="s">
        <v>241</v>
      </c>
      <c r="Q216" s="29" t="s">
        <v>244</v>
      </c>
      <c r="R216" s="29" t="s">
        <v>245</v>
      </c>
      <c r="S216" s="38" t="s">
        <v>49</v>
      </c>
      <c r="T216" s="39" t="s">
        <v>73</v>
      </c>
      <c r="U216" s="39" t="s">
        <v>59</v>
      </c>
      <c r="V216" s="38" t="s">
        <v>100</v>
      </c>
      <c r="W216" s="40" t="s">
        <v>59</v>
      </c>
      <c r="X216" s="13" t="s">
        <v>59</v>
      </c>
      <c r="Y216" s="13" t="s">
        <v>59</v>
      </c>
      <c r="Z216" s="13" t="s">
        <v>59</v>
      </c>
      <c r="AA216" s="13" t="s">
        <v>59</v>
      </c>
      <c r="AB216" s="41" t="s">
        <v>59</v>
      </c>
      <c r="AC216" s="16" t="s">
        <v>59</v>
      </c>
      <c r="AD216" s="42" t="s">
        <v>59</v>
      </c>
      <c r="AE216" s="42">
        <v>3.7</v>
      </c>
      <c r="AF216" s="42">
        <v>0.2</v>
      </c>
      <c r="AG216" s="43" t="s">
        <v>59</v>
      </c>
      <c r="AH216" s="43" t="s">
        <v>59</v>
      </c>
      <c r="AI216" s="43" t="s">
        <v>59</v>
      </c>
      <c r="AJ216" s="17" t="s">
        <v>59</v>
      </c>
      <c r="AK216" s="17" t="s">
        <v>59</v>
      </c>
      <c r="AL216" s="17">
        <v>2.9812749999999997</v>
      </c>
      <c r="AM216" s="17" t="s">
        <v>59</v>
      </c>
      <c r="AN216" s="17" t="s">
        <v>59</v>
      </c>
      <c r="AO216" s="44" t="s">
        <v>61</v>
      </c>
    </row>
    <row r="217" spans="1:41" ht="12" customHeight="1" x14ac:dyDescent="0.35">
      <c r="A217" s="29" t="s">
        <v>65</v>
      </c>
      <c r="B217" s="30" t="s">
        <v>60</v>
      </c>
      <c r="C217" s="29">
        <v>39</v>
      </c>
      <c r="D217" s="29" t="s">
        <v>66</v>
      </c>
      <c r="E217" s="31" t="s">
        <v>370</v>
      </c>
      <c r="F217" s="29">
        <v>33341</v>
      </c>
      <c r="G217" s="29" t="s">
        <v>59</v>
      </c>
      <c r="H217" s="32">
        <v>46104</v>
      </c>
      <c r="I217" s="33">
        <v>46104</v>
      </c>
      <c r="J217" s="34" t="s">
        <v>67</v>
      </c>
      <c r="K217" s="35">
        <v>0.38534722222222223</v>
      </c>
      <c r="L217" s="35">
        <v>0.40971064814814817</v>
      </c>
      <c r="M217" s="36">
        <v>0.46868055555555554</v>
      </c>
      <c r="N217" s="35">
        <v>0.49304398148148149</v>
      </c>
      <c r="O217" s="37">
        <f>IF(N217&gt;M217,N217-M217,(N217+1)-M217)</f>
        <v>2.4363425925925941E-2</v>
      </c>
      <c r="P217" s="29" t="s">
        <v>225</v>
      </c>
      <c r="Q217" s="29" t="s">
        <v>59</v>
      </c>
      <c r="R217" s="29" t="s">
        <v>225</v>
      </c>
      <c r="S217" s="38" t="s">
        <v>49</v>
      </c>
      <c r="T217" s="39" t="s">
        <v>73</v>
      </c>
      <c r="U217" s="39" t="s">
        <v>59</v>
      </c>
      <c r="V217" s="38" t="s">
        <v>107</v>
      </c>
      <c r="W217" s="40" t="s">
        <v>59</v>
      </c>
      <c r="X217" s="13" t="s">
        <v>59</v>
      </c>
      <c r="Y217" s="13" t="s">
        <v>59</v>
      </c>
      <c r="Z217" s="13" t="s">
        <v>59</v>
      </c>
      <c r="AA217" s="13" t="s">
        <v>59</v>
      </c>
      <c r="AB217" s="41" t="s">
        <v>59</v>
      </c>
      <c r="AC217" s="16" t="s">
        <v>59</v>
      </c>
      <c r="AD217" s="42" t="s">
        <v>59</v>
      </c>
      <c r="AE217" s="42">
        <v>4.5</v>
      </c>
      <c r="AF217" s="42">
        <v>0.06</v>
      </c>
      <c r="AG217" s="43" t="s">
        <v>59</v>
      </c>
      <c r="AH217" s="43" t="s">
        <v>59</v>
      </c>
      <c r="AI217" s="43" t="s">
        <v>59</v>
      </c>
      <c r="AJ217" s="17" t="s">
        <v>59</v>
      </c>
      <c r="AK217" s="17" t="s">
        <v>59</v>
      </c>
      <c r="AL217" s="17">
        <v>3</v>
      </c>
      <c r="AM217" s="17" t="s">
        <v>59</v>
      </c>
      <c r="AN217" s="17" t="s">
        <v>59</v>
      </c>
      <c r="AO217" s="44" t="s">
        <v>61</v>
      </c>
    </row>
    <row r="218" spans="1:41" ht="12" customHeight="1" x14ac:dyDescent="0.35">
      <c r="A218" s="29" t="s">
        <v>96</v>
      </c>
      <c r="B218" s="30" t="s">
        <v>238</v>
      </c>
      <c r="C218" s="29">
        <v>6</v>
      </c>
      <c r="D218" s="29" t="s">
        <v>239</v>
      </c>
      <c r="E218" s="31" t="s">
        <v>240</v>
      </c>
      <c r="F218" s="29">
        <v>3164</v>
      </c>
      <c r="G218" s="29"/>
      <c r="H218" s="32">
        <v>46101</v>
      </c>
      <c r="I218" s="33">
        <v>46101</v>
      </c>
      <c r="J218" s="34" t="s">
        <v>79</v>
      </c>
      <c r="K218" s="35">
        <v>0.73071759259259261</v>
      </c>
      <c r="L218" s="35">
        <v>0.85068287037037038</v>
      </c>
      <c r="M218" s="36">
        <v>0.77238425925925924</v>
      </c>
      <c r="N218" s="35">
        <v>0.89234953703703701</v>
      </c>
      <c r="O218" s="37">
        <f>IF(N218&gt;M218,N218-M218,(N218+1)-M218)</f>
        <v>0.11996527777777777</v>
      </c>
      <c r="P218" s="29" t="s">
        <v>241</v>
      </c>
      <c r="Q218" s="29" t="s">
        <v>59</v>
      </c>
      <c r="R218" s="29" t="s">
        <v>241</v>
      </c>
      <c r="S218" s="38" t="s">
        <v>46</v>
      </c>
      <c r="T218" s="39" t="s">
        <v>73</v>
      </c>
      <c r="U218" s="39" t="s">
        <v>59</v>
      </c>
      <c r="V218" s="38" t="s">
        <v>100</v>
      </c>
      <c r="W218" s="40" t="s">
        <v>59</v>
      </c>
      <c r="X218" s="13" t="s">
        <v>59</v>
      </c>
      <c r="Y218" s="13" t="s">
        <v>59</v>
      </c>
      <c r="Z218" s="13" t="s">
        <v>59</v>
      </c>
      <c r="AA218" s="13" t="s">
        <v>59</v>
      </c>
      <c r="AB218" s="41" t="s">
        <v>59</v>
      </c>
      <c r="AC218" s="16" t="s">
        <v>59</v>
      </c>
      <c r="AD218" s="42" t="s">
        <v>59</v>
      </c>
      <c r="AE218" s="42">
        <v>3.8</v>
      </c>
      <c r="AF218" s="42">
        <v>0.3</v>
      </c>
      <c r="AG218" s="43" t="s">
        <v>59</v>
      </c>
      <c r="AH218" s="43" t="s">
        <v>59</v>
      </c>
      <c r="AI218" s="43" t="s">
        <v>59</v>
      </c>
      <c r="AJ218" s="17" t="s">
        <v>59</v>
      </c>
      <c r="AK218" s="17" t="s">
        <v>59</v>
      </c>
      <c r="AL218" s="17">
        <v>3.0618499999999997</v>
      </c>
      <c r="AM218" s="17" t="s">
        <v>59</v>
      </c>
      <c r="AN218" s="17" t="s">
        <v>59</v>
      </c>
      <c r="AO218" s="44" t="s">
        <v>61</v>
      </c>
    </row>
    <row r="219" spans="1:41" ht="12" customHeight="1" x14ac:dyDescent="0.35">
      <c r="A219" s="29" t="s">
        <v>68</v>
      </c>
      <c r="B219" s="30" t="s">
        <v>111</v>
      </c>
      <c r="C219" s="29">
        <v>78</v>
      </c>
      <c r="D219" s="29" t="s">
        <v>112</v>
      </c>
      <c r="E219" s="31" t="s">
        <v>113</v>
      </c>
      <c r="F219" s="29">
        <v>2874</v>
      </c>
      <c r="G219" s="29" t="s">
        <v>59</v>
      </c>
      <c r="H219" s="32">
        <v>46103</v>
      </c>
      <c r="I219" s="33">
        <v>46103</v>
      </c>
      <c r="J219" s="34" t="s">
        <v>74</v>
      </c>
      <c r="K219" s="35">
        <v>0.46180555555555558</v>
      </c>
      <c r="L219" s="35">
        <v>0.47847222222222224</v>
      </c>
      <c r="M219" s="36">
        <v>0.33680555555555558</v>
      </c>
      <c r="N219" s="35">
        <v>0.35347222222222224</v>
      </c>
      <c r="O219" s="37">
        <f>IF(N219&gt;M219,N219-M219,(N219+1)-M219)</f>
        <v>1.6666666666666663E-2</v>
      </c>
      <c r="P219" s="29" t="s">
        <v>114</v>
      </c>
      <c r="Q219" s="29" t="s">
        <v>117</v>
      </c>
      <c r="R219" s="29" t="s">
        <v>118</v>
      </c>
      <c r="S219" s="38" t="s">
        <v>46</v>
      </c>
      <c r="T219" s="39" t="s">
        <v>73</v>
      </c>
      <c r="U219" s="39" t="s">
        <v>59</v>
      </c>
      <c r="V219" s="38" t="s">
        <v>107</v>
      </c>
      <c r="W219" s="40" t="s">
        <v>59</v>
      </c>
      <c r="X219" s="13" t="s">
        <v>59</v>
      </c>
      <c r="Y219" s="13" t="s">
        <v>59</v>
      </c>
      <c r="Z219" s="13" t="s">
        <v>59</v>
      </c>
      <c r="AA219" s="13" t="s">
        <v>59</v>
      </c>
      <c r="AB219" s="41" t="s">
        <v>59</v>
      </c>
      <c r="AC219" s="16" t="s">
        <v>59</v>
      </c>
      <c r="AD219" s="42" t="s">
        <v>59</v>
      </c>
      <c r="AE219" s="42">
        <v>8.1300000000000008</v>
      </c>
      <c r="AF219" s="42">
        <v>0.15</v>
      </c>
      <c r="AG219" s="43" t="s">
        <v>59</v>
      </c>
      <c r="AH219" s="43" t="s">
        <v>59</v>
      </c>
      <c r="AI219" s="43" t="s">
        <v>59</v>
      </c>
      <c r="AJ219" s="17" t="s">
        <v>59</v>
      </c>
      <c r="AK219" s="17" t="s">
        <v>59</v>
      </c>
      <c r="AL219" s="17">
        <v>3.1220413706302215</v>
      </c>
      <c r="AM219" s="17" t="s">
        <v>59</v>
      </c>
      <c r="AN219" s="17" t="s">
        <v>59</v>
      </c>
      <c r="AO219" s="44" t="s">
        <v>61</v>
      </c>
    </row>
    <row r="220" spans="1:41" ht="12" customHeight="1" x14ac:dyDescent="0.35">
      <c r="A220" s="29" t="s">
        <v>96</v>
      </c>
      <c r="B220" s="30" t="s">
        <v>238</v>
      </c>
      <c r="C220" s="29">
        <v>6</v>
      </c>
      <c r="D220" s="29" t="s">
        <v>239</v>
      </c>
      <c r="E220" s="31" t="s">
        <v>240</v>
      </c>
      <c r="F220" s="29">
        <v>3164</v>
      </c>
      <c r="G220" s="29" t="s">
        <v>59</v>
      </c>
      <c r="H220" s="32">
        <v>46101</v>
      </c>
      <c r="I220" s="33">
        <v>46101</v>
      </c>
      <c r="J220" s="34" t="s">
        <v>79</v>
      </c>
      <c r="K220" s="35">
        <v>0.37912037037037039</v>
      </c>
      <c r="L220" s="35">
        <v>0.54017361111111106</v>
      </c>
      <c r="M220" s="36">
        <v>0.42078703703703701</v>
      </c>
      <c r="N220" s="35">
        <v>0.5818402777777778</v>
      </c>
      <c r="O220" s="37">
        <f>IF(N220&gt;M220,N220-M220,(N220+1)-M220)</f>
        <v>0.16105324074074079</v>
      </c>
      <c r="P220" s="29" t="s">
        <v>241</v>
      </c>
      <c r="Q220" s="29" t="s">
        <v>59</v>
      </c>
      <c r="R220" s="29" t="s">
        <v>241</v>
      </c>
      <c r="S220" s="38" t="s">
        <v>46</v>
      </c>
      <c r="T220" s="39" t="s">
        <v>73</v>
      </c>
      <c r="U220" s="39" t="s">
        <v>59</v>
      </c>
      <c r="V220" s="38" t="s">
        <v>100</v>
      </c>
      <c r="W220" s="40" t="s">
        <v>59</v>
      </c>
      <c r="X220" s="13" t="s">
        <v>59</v>
      </c>
      <c r="Y220" s="13" t="s">
        <v>59</v>
      </c>
      <c r="Z220" s="13" t="s">
        <v>59</v>
      </c>
      <c r="AA220" s="13" t="s">
        <v>59</v>
      </c>
      <c r="AB220" s="41" t="s">
        <v>59</v>
      </c>
      <c r="AC220" s="16" t="s">
        <v>59</v>
      </c>
      <c r="AD220" s="42" t="s">
        <v>59</v>
      </c>
      <c r="AE220" s="42">
        <v>3.9</v>
      </c>
      <c r="AF220" s="42">
        <v>1.3</v>
      </c>
      <c r="AG220" s="43" t="s">
        <v>59</v>
      </c>
      <c r="AH220" s="43" t="s">
        <v>59</v>
      </c>
      <c r="AI220" s="43" t="s">
        <v>59</v>
      </c>
      <c r="AJ220" s="17" t="s">
        <v>59</v>
      </c>
      <c r="AK220" s="17" t="s">
        <v>59</v>
      </c>
      <c r="AL220" s="17">
        <v>3.1424250000000002</v>
      </c>
      <c r="AM220" s="17" t="s">
        <v>59</v>
      </c>
      <c r="AN220" s="17" t="s">
        <v>59</v>
      </c>
      <c r="AO220" s="44" t="s">
        <v>61</v>
      </c>
    </row>
    <row r="221" spans="1:41" ht="12" customHeight="1" x14ac:dyDescent="0.35">
      <c r="A221" s="29" t="s">
        <v>96</v>
      </c>
      <c r="B221" s="30" t="s">
        <v>238</v>
      </c>
      <c r="C221" s="29">
        <v>6</v>
      </c>
      <c r="D221" s="29" t="s">
        <v>239</v>
      </c>
      <c r="E221" s="31" t="s">
        <v>240</v>
      </c>
      <c r="F221" s="29">
        <v>3164</v>
      </c>
      <c r="G221" s="29" t="s">
        <v>59</v>
      </c>
      <c r="H221" s="32">
        <v>46103</v>
      </c>
      <c r="I221" s="33">
        <v>46103</v>
      </c>
      <c r="J221" s="34" t="s">
        <v>74</v>
      </c>
      <c r="K221" s="35">
        <v>0.375</v>
      </c>
      <c r="L221" s="35">
        <v>0.37884259259259262</v>
      </c>
      <c r="M221" s="36">
        <v>0.41666666666666669</v>
      </c>
      <c r="N221" s="35">
        <v>0.42050925925925925</v>
      </c>
      <c r="O221" s="37">
        <f>IF(N221&gt;M221,N221-M221,(N221+1)-M221)</f>
        <v>3.8425925925925641E-3</v>
      </c>
      <c r="P221" s="29" t="s">
        <v>241</v>
      </c>
      <c r="Q221" s="29" t="s">
        <v>242</v>
      </c>
      <c r="R221" s="29" t="s">
        <v>243</v>
      </c>
      <c r="S221" s="38" t="s">
        <v>46</v>
      </c>
      <c r="T221" s="39" t="s">
        <v>73</v>
      </c>
      <c r="U221" s="39" t="s">
        <v>59</v>
      </c>
      <c r="V221" s="38" t="s">
        <v>107</v>
      </c>
      <c r="W221" s="40" t="s">
        <v>59</v>
      </c>
      <c r="X221" s="13" t="s">
        <v>59</v>
      </c>
      <c r="Y221" s="13" t="s">
        <v>59</v>
      </c>
      <c r="Z221" s="13" t="s">
        <v>59</v>
      </c>
      <c r="AA221" s="13" t="s">
        <v>59</v>
      </c>
      <c r="AB221" s="41" t="s">
        <v>59</v>
      </c>
      <c r="AC221" s="16" t="s">
        <v>59</v>
      </c>
      <c r="AD221" s="42" t="s">
        <v>59</v>
      </c>
      <c r="AE221" s="42">
        <v>3.9</v>
      </c>
      <c r="AF221" s="42">
        <v>0.9</v>
      </c>
      <c r="AG221" s="43" t="s">
        <v>59</v>
      </c>
      <c r="AH221" s="43" t="s">
        <v>59</v>
      </c>
      <c r="AI221" s="43" t="s">
        <v>59</v>
      </c>
      <c r="AJ221" s="17" t="s">
        <v>59</v>
      </c>
      <c r="AK221" s="17" t="s">
        <v>59</v>
      </c>
      <c r="AL221" s="17">
        <v>3.1424250000000002</v>
      </c>
      <c r="AM221" s="17" t="s">
        <v>59</v>
      </c>
      <c r="AN221" s="17" t="s">
        <v>59</v>
      </c>
      <c r="AO221" s="44" t="s">
        <v>61</v>
      </c>
    </row>
    <row r="222" spans="1:41" ht="12" customHeight="1" x14ac:dyDescent="0.35">
      <c r="A222" s="29" t="s">
        <v>68</v>
      </c>
      <c r="B222" s="30" t="s">
        <v>111</v>
      </c>
      <c r="C222" s="29">
        <v>78</v>
      </c>
      <c r="D222" s="29" t="s">
        <v>112</v>
      </c>
      <c r="E222" s="31" t="s">
        <v>121</v>
      </c>
      <c r="F222" s="29">
        <v>4586</v>
      </c>
      <c r="G222" s="29" t="s">
        <v>59</v>
      </c>
      <c r="H222" s="32">
        <v>46102</v>
      </c>
      <c r="I222" s="33">
        <v>46102</v>
      </c>
      <c r="J222" s="34" t="s">
        <v>71</v>
      </c>
      <c r="K222" s="35">
        <v>0.77708333333333335</v>
      </c>
      <c r="L222" s="35">
        <v>0.77986111111111112</v>
      </c>
      <c r="M222" s="36">
        <v>0.65208333333333335</v>
      </c>
      <c r="N222" s="35">
        <v>0.65486111111111112</v>
      </c>
      <c r="O222" s="37">
        <f>IF(N222&gt;M222,N222-M222,(N222+1)-M222)</f>
        <v>2.7777777777777679E-3</v>
      </c>
      <c r="P222" s="29" t="s">
        <v>114</v>
      </c>
      <c r="Q222" s="29" t="s">
        <v>117</v>
      </c>
      <c r="R222" s="29" t="s">
        <v>118</v>
      </c>
      <c r="S222" s="38" t="s">
        <v>46</v>
      </c>
      <c r="T222" s="39" t="s">
        <v>73</v>
      </c>
      <c r="U222" s="39" t="s">
        <v>59</v>
      </c>
      <c r="V222" s="38" t="s">
        <v>104</v>
      </c>
      <c r="W222" s="40" t="s">
        <v>59</v>
      </c>
      <c r="X222" s="13" t="s">
        <v>59</v>
      </c>
      <c r="Y222" s="13" t="s">
        <v>59</v>
      </c>
      <c r="Z222" s="13" t="s">
        <v>59</v>
      </c>
      <c r="AA222" s="13" t="s">
        <v>59</v>
      </c>
      <c r="AB222" s="41" t="s">
        <v>59</v>
      </c>
      <c r="AC222" s="16" t="s">
        <v>59</v>
      </c>
      <c r="AD222" s="42" t="s">
        <v>59</v>
      </c>
      <c r="AE222" s="42">
        <v>19.21</v>
      </c>
      <c r="AF222" s="42">
        <v>0.15</v>
      </c>
      <c r="AG222" s="43" t="s">
        <v>59</v>
      </c>
      <c r="AH222" s="43" t="s">
        <v>59</v>
      </c>
      <c r="AI222" s="43" t="s">
        <v>59</v>
      </c>
      <c r="AJ222" s="17" t="s">
        <v>59</v>
      </c>
      <c r="AK222" s="17" t="s">
        <v>59</v>
      </c>
      <c r="AL222" s="17">
        <v>3.2220905942577791</v>
      </c>
      <c r="AM222" s="17" t="s">
        <v>59</v>
      </c>
      <c r="AN222" s="17" t="s">
        <v>59</v>
      </c>
      <c r="AO222" s="44" t="s">
        <v>61</v>
      </c>
    </row>
    <row r="223" spans="1:41" ht="12" customHeight="1" x14ac:dyDescent="0.35">
      <c r="A223" s="29" t="s">
        <v>65</v>
      </c>
      <c r="B223" s="30" t="s">
        <v>60</v>
      </c>
      <c r="C223" s="29">
        <v>39</v>
      </c>
      <c r="D223" s="29" t="s">
        <v>66</v>
      </c>
      <c r="E223" s="31" t="s">
        <v>370</v>
      </c>
      <c r="F223" s="29">
        <v>33341</v>
      </c>
      <c r="G223" s="29" t="s">
        <v>59</v>
      </c>
      <c r="H223" s="32">
        <v>46101</v>
      </c>
      <c r="I223" s="33">
        <v>46101</v>
      </c>
      <c r="J223" s="34" t="s">
        <v>79</v>
      </c>
      <c r="K223" s="35">
        <v>0.70843750000000005</v>
      </c>
      <c r="L223" s="35">
        <v>0.86674768518518519</v>
      </c>
      <c r="M223" s="36">
        <v>0.79177083333333331</v>
      </c>
      <c r="N223" s="35">
        <v>0.95008101851851856</v>
      </c>
      <c r="O223" s="37">
        <f>IF(N223&gt;M223,N223-M223,(N223+1)-M223)</f>
        <v>0.15831018518518525</v>
      </c>
      <c r="P223" s="29" t="s">
        <v>225</v>
      </c>
      <c r="Q223" s="29" t="s">
        <v>59</v>
      </c>
      <c r="R223" s="29" t="s">
        <v>225</v>
      </c>
      <c r="S223" s="38" t="s">
        <v>46</v>
      </c>
      <c r="T223" s="39" t="s">
        <v>73</v>
      </c>
      <c r="U223" s="39" t="s">
        <v>59</v>
      </c>
      <c r="V223" s="38" t="s">
        <v>100</v>
      </c>
      <c r="W223" s="40" t="s">
        <v>59</v>
      </c>
      <c r="X223" s="13" t="s">
        <v>59</v>
      </c>
      <c r="Y223" s="13" t="s">
        <v>59</v>
      </c>
      <c r="Z223" s="13" t="s">
        <v>59</v>
      </c>
      <c r="AA223" s="13" t="s">
        <v>59</v>
      </c>
      <c r="AB223" s="41" t="s">
        <v>59</v>
      </c>
      <c r="AC223" s="16" t="s">
        <v>59</v>
      </c>
      <c r="AD223" s="42" t="s">
        <v>59</v>
      </c>
      <c r="AE223" s="42">
        <v>4.9000000000000004</v>
      </c>
      <c r="AF223" s="42">
        <v>0.04</v>
      </c>
      <c r="AG223" s="43" t="s">
        <v>59</v>
      </c>
      <c r="AH223" s="43" t="s">
        <v>59</v>
      </c>
      <c r="AI223" s="43" t="s">
        <v>59</v>
      </c>
      <c r="AJ223" s="17" t="s">
        <v>59</v>
      </c>
      <c r="AK223" s="17" t="s">
        <v>59</v>
      </c>
      <c r="AL223" s="17">
        <v>3.2666666666666666</v>
      </c>
      <c r="AM223" s="17" t="s">
        <v>59</v>
      </c>
      <c r="AN223" s="17" t="s">
        <v>59</v>
      </c>
      <c r="AO223" s="44" t="s">
        <v>61</v>
      </c>
    </row>
    <row r="224" spans="1:41" ht="12" customHeight="1" x14ac:dyDescent="0.35">
      <c r="A224" s="29" t="s">
        <v>96</v>
      </c>
      <c r="B224" s="30" t="s">
        <v>127</v>
      </c>
      <c r="C224" s="29">
        <v>5</v>
      </c>
      <c r="D224" s="29" t="s">
        <v>128</v>
      </c>
      <c r="E224" s="31" t="s">
        <v>129</v>
      </c>
      <c r="F224" s="29">
        <v>21831</v>
      </c>
      <c r="G224" s="29" t="s">
        <v>59</v>
      </c>
      <c r="H224" s="32">
        <v>46103</v>
      </c>
      <c r="I224" s="33">
        <v>46103</v>
      </c>
      <c r="J224" s="34" t="s">
        <v>74</v>
      </c>
      <c r="K224" s="35">
        <v>0.51946759259259256</v>
      </c>
      <c r="L224" s="35">
        <v>0.5373148148148148</v>
      </c>
      <c r="M224" s="36">
        <v>0.60280092592592593</v>
      </c>
      <c r="N224" s="35">
        <v>0.62064814814814817</v>
      </c>
      <c r="O224" s="37">
        <f>IF(N224&gt;M224,N224-M224,(N224+1)-M224)</f>
        <v>1.7847222222222237E-2</v>
      </c>
      <c r="P224" s="29" t="s">
        <v>131</v>
      </c>
      <c r="Q224" s="29" t="s">
        <v>59</v>
      </c>
      <c r="R224" s="29" t="s">
        <v>131</v>
      </c>
      <c r="S224" s="38" t="s">
        <v>46</v>
      </c>
      <c r="T224" s="39" t="s">
        <v>73</v>
      </c>
      <c r="U224" s="39" t="s">
        <v>59</v>
      </c>
      <c r="V224" s="38" t="s">
        <v>107</v>
      </c>
      <c r="W224" s="40" t="s">
        <v>59</v>
      </c>
      <c r="X224" s="13" t="s">
        <v>59</v>
      </c>
      <c r="Y224" s="13" t="s">
        <v>59</v>
      </c>
      <c r="Z224" s="13" t="s">
        <v>59</v>
      </c>
      <c r="AA224" s="13" t="s">
        <v>59</v>
      </c>
      <c r="AB224" s="41" t="s">
        <v>59</v>
      </c>
      <c r="AC224" s="16" t="s">
        <v>59</v>
      </c>
      <c r="AD224" s="42" t="s">
        <v>59</v>
      </c>
      <c r="AE224" s="42">
        <v>20.3</v>
      </c>
      <c r="AF224" s="42">
        <v>1.5</v>
      </c>
      <c r="AG224" s="43" t="s">
        <v>59</v>
      </c>
      <c r="AH224" s="43" t="s">
        <v>59</v>
      </c>
      <c r="AI224" s="43" t="s">
        <v>59</v>
      </c>
      <c r="AJ224" s="17" t="s">
        <v>59</v>
      </c>
      <c r="AK224" s="17" t="s">
        <v>59</v>
      </c>
      <c r="AL224" s="17">
        <v>3.3833333333333333</v>
      </c>
      <c r="AM224" s="17" t="s">
        <v>59</v>
      </c>
      <c r="AN224" s="17" t="s">
        <v>59</v>
      </c>
      <c r="AO224" s="44" t="s">
        <v>61</v>
      </c>
    </row>
    <row r="225" spans="1:41" ht="12" customHeight="1" x14ac:dyDescent="0.35">
      <c r="A225" s="29" t="s">
        <v>96</v>
      </c>
      <c r="B225" s="30" t="s">
        <v>63</v>
      </c>
      <c r="C225" s="29">
        <v>20</v>
      </c>
      <c r="D225" s="29" t="s">
        <v>175</v>
      </c>
      <c r="E225" s="31" t="s">
        <v>176</v>
      </c>
      <c r="F225" s="29">
        <v>21659</v>
      </c>
      <c r="G225" s="29" t="s">
        <v>59</v>
      </c>
      <c r="H225" s="32">
        <v>46101</v>
      </c>
      <c r="I225" s="33">
        <v>46101</v>
      </c>
      <c r="J225" s="34" t="s">
        <v>79</v>
      </c>
      <c r="K225" s="35">
        <v>0.37152777777777779</v>
      </c>
      <c r="L225" s="35">
        <v>0.54513888888888884</v>
      </c>
      <c r="M225" s="36">
        <v>0.37152777777777779</v>
      </c>
      <c r="N225" s="35">
        <v>0.54513888888888884</v>
      </c>
      <c r="O225" s="37">
        <f>IF(N225&gt;M225,N225-M225,(N225+1)-M225)</f>
        <v>0.17361111111111105</v>
      </c>
      <c r="P225" s="29" t="s">
        <v>131</v>
      </c>
      <c r="Q225" s="29" t="s">
        <v>59</v>
      </c>
      <c r="R225" s="29" t="s">
        <v>131</v>
      </c>
      <c r="S225" s="38" t="s">
        <v>46</v>
      </c>
      <c r="T225" s="39" t="s">
        <v>73</v>
      </c>
      <c r="U225" s="39" t="s">
        <v>59</v>
      </c>
      <c r="V225" s="38" t="s">
        <v>100</v>
      </c>
      <c r="W225" s="40" t="s">
        <v>59</v>
      </c>
      <c r="X225" s="13" t="s">
        <v>59</v>
      </c>
      <c r="Y225" s="13" t="s">
        <v>59</v>
      </c>
      <c r="Z225" s="13" t="s">
        <v>59</v>
      </c>
      <c r="AA225" s="13" t="s">
        <v>59</v>
      </c>
      <c r="AB225" s="41" t="s">
        <v>59</v>
      </c>
      <c r="AC225" s="16" t="s">
        <v>59</v>
      </c>
      <c r="AD225" s="42" t="s">
        <v>59</v>
      </c>
      <c r="AE225" s="42">
        <v>12</v>
      </c>
      <c r="AF225" s="42">
        <v>6.04</v>
      </c>
      <c r="AG225" s="43" t="s">
        <v>59</v>
      </c>
      <c r="AH225" s="43" t="s">
        <v>59</v>
      </c>
      <c r="AI225" s="43" t="s">
        <v>59</v>
      </c>
      <c r="AJ225" s="17" t="s">
        <v>59</v>
      </c>
      <c r="AK225" s="17" t="s">
        <v>59</v>
      </c>
      <c r="AL225" s="17">
        <v>3.4799999999999995</v>
      </c>
      <c r="AM225" s="17" t="s">
        <v>59</v>
      </c>
      <c r="AN225" s="17" t="s">
        <v>59</v>
      </c>
      <c r="AO225" s="44" t="s">
        <v>61</v>
      </c>
    </row>
    <row r="226" spans="1:41" ht="12" customHeight="1" x14ac:dyDescent="0.35">
      <c r="A226" s="29" t="s">
        <v>96</v>
      </c>
      <c r="B226" s="30" t="s">
        <v>64</v>
      </c>
      <c r="C226" s="29">
        <v>19</v>
      </c>
      <c r="D226" s="29" t="s">
        <v>177</v>
      </c>
      <c r="E226" s="31" t="s">
        <v>178</v>
      </c>
      <c r="F226" s="29">
        <v>2925</v>
      </c>
      <c r="G226" s="29" t="s">
        <v>59</v>
      </c>
      <c r="H226" s="32">
        <v>46102</v>
      </c>
      <c r="I226" s="33">
        <v>46102</v>
      </c>
      <c r="J226" s="34" t="s">
        <v>71</v>
      </c>
      <c r="K226" s="35">
        <v>0.12695601851851851</v>
      </c>
      <c r="L226" s="35">
        <v>0.2492824074074074</v>
      </c>
      <c r="M226" s="36">
        <v>0.16862268518518519</v>
      </c>
      <c r="N226" s="35">
        <v>0.29094907407407405</v>
      </c>
      <c r="O226" s="37">
        <f>IF(N226&gt;M226,N226-M226,(N226+1)-M226)</f>
        <v>0.12232638888888886</v>
      </c>
      <c r="P226" s="29" t="s">
        <v>179</v>
      </c>
      <c r="Q226" s="29" t="s">
        <v>182</v>
      </c>
      <c r="R226" s="29" t="s">
        <v>183</v>
      </c>
      <c r="S226" s="38" t="s">
        <v>48</v>
      </c>
      <c r="T226" s="39" t="s">
        <v>73</v>
      </c>
      <c r="U226" s="39" t="s">
        <v>59</v>
      </c>
      <c r="V226" s="38" t="s">
        <v>100</v>
      </c>
      <c r="W226" s="40" t="s">
        <v>59</v>
      </c>
      <c r="X226" s="13" t="s">
        <v>59</v>
      </c>
      <c r="Y226" s="13" t="s">
        <v>59</v>
      </c>
      <c r="Z226" s="13" t="s">
        <v>59</v>
      </c>
      <c r="AA226" s="13" t="s">
        <v>59</v>
      </c>
      <c r="AB226" s="41" t="s">
        <v>59</v>
      </c>
      <c r="AC226" s="16" t="s">
        <v>59</v>
      </c>
      <c r="AD226" s="42" t="s">
        <v>59</v>
      </c>
      <c r="AE226" s="42">
        <v>7.1</v>
      </c>
      <c r="AF226" s="42">
        <v>0.55000000000000004</v>
      </c>
      <c r="AG226" s="43" t="s">
        <v>59</v>
      </c>
      <c r="AH226" s="43" t="s">
        <v>59</v>
      </c>
      <c r="AI226" s="43" t="s">
        <v>59</v>
      </c>
      <c r="AJ226" s="17" t="s">
        <v>59</v>
      </c>
      <c r="AK226" s="17" t="s">
        <v>59</v>
      </c>
      <c r="AL226" s="17">
        <v>3.5280006198540304</v>
      </c>
      <c r="AM226" s="17" t="s">
        <v>59</v>
      </c>
      <c r="AN226" s="17" t="s">
        <v>59</v>
      </c>
      <c r="AO226" s="44" t="s">
        <v>61</v>
      </c>
    </row>
    <row r="227" spans="1:41" ht="12" customHeight="1" x14ac:dyDescent="0.35">
      <c r="A227" s="29" t="s">
        <v>68</v>
      </c>
      <c r="B227" s="30" t="s">
        <v>111</v>
      </c>
      <c r="C227" s="29">
        <v>78</v>
      </c>
      <c r="D227" s="29" t="s">
        <v>112</v>
      </c>
      <c r="E227" s="31" t="s">
        <v>113</v>
      </c>
      <c r="F227" s="29">
        <v>2874</v>
      </c>
      <c r="G227" s="29" t="s">
        <v>59</v>
      </c>
      <c r="H227" s="32">
        <v>46102</v>
      </c>
      <c r="I227" s="33">
        <v>46102</v>
      </c>
      <c r="J227" s="34" t="s">
        <v>71</v>
      </c>
      <c r="K227" s="35">
        <v>0.48402777777777778</v>
      </c>
      <c r="L227" s="35">
        <v>0.48680555555555555</v>
      </c>
      <c r="M227" s="36">
        <v>0.35902777777777778</v>
      </c>
      <c r="N227" s="35">
        <v>0.36180555555555555</v>
      </c>
      <c r="O227" s="37">
        <f>IF(N227&gt;M227,N227-M227,(N227+1)-M227)</f>
        <v>2.7777777777777679E-3</v>
      </c>
      <c r="P227" s="29" t="s">
        <v>114</v>
      </c>
      <c r="Q227" s="29" t="s">
        <v>117</v>
      </c>
      <c r="R227" s="29" t="s">
        <v>118</v>
      </c>
      <c r="S227" s="38" t="s">
        <v>46</v>
      </c>
      <c r="T227" s="39" t="s">
        <v>73</v>
      </c>
      <c r="U227" s="39" t="s">
        <v>59</v>
      </c>
      <c r="V227" s="38" t="s">
        <v>104</v>
      </c>
      <c r="W227" s="40" t="s">
        <v>59</v>
      </c>
      <c r="X227" s="13" t="s">
        <v>59</v>
      </c>
      <c r="Y227" s="13" t="s">
        <v>59</v>
      </c>
      <c r="Z227" s="13" t="s">
        <v>59</v>
      </c>
      <c r="AA227" s="13" t="s">
        <v>59</v>
      </c>
      <c r="AB227" s="41" t="s">
        <v>59</v>
      </c>
      <c r="AC227" s="16" t="s">
        <v>59</v>
      </c>
      <c r="AD227" s="42" t="s">
        <v>59</v>
      </c>
      <c r="AE227" s="42">
        <v>9.6300000000000008</v>
      </c>
      <c r="AF227" s="42">
        <v>0.15</v>
      </c>
      <c r="AG227" s="43" t="s">
        <v>59</v>
      </c>
      <c r="AH227" s="43" t="s">
        <v>59</v>
      </c>
      <c r="AI227" s="43" t="s">
        <v>59</v>
      </c>
      <c r="AJ227" s="17" t="s">
        <v>59</v>
      </c>
      <c r="AK227" s="17" t="s">
        <v>59</v>
      </c>
      <c r="AL227" s="17">
        <v>3.6980637637354281</v>
      </c>
      <c r="AM227" s="17" t="s">
        <v>59</v>
      </c>
      <c r="AN227" s="17" t="s">
        <v>59</v>
      </c>
      <c r="AO227" s="44" t="s">
        <v>61</v>
      </c>
    </row>
    <row r="228" spans="1:41" ht="12" customHeight="1" x14ac:dyDescent="0.35">
      <c r="A228" s="29" t="s">
        <v>68</v>
      </c>
      <c r="B228" s="30" t="s">
        <v>111</v>
      </c>
      <c r="C228" s="29">
        <v>78</v>
      </c>
      <c r="D228" s="29" t="s">
        <v>112</v>
      </c>
      <c r="E228" s="31" t="s">
        <v>121</v>
      </c>
      <c r="F228" s="29">
        <v>4586</v>
      </c>
      <c r="G228" s="29" t="s">
        <v>59</v>
      </c>
      <c r="H228" s="32">
        <v>46102</v>
      </c>
      <c r="I228" s="33">
        <v>46102</v>
      </c>
      <c r="J228" s="34" t="s">
        <v>71</v>
      </c>
      <c r="K228" s="35">
        <v>0.75347222222222221</v>
      </c>
      <c r="L228" s="35">
        <v>0.76041666666666663</v>
      </c>
      <c r="M228" s="36">
        <v>0.62847222222222221</v>
      </c>
      <c r="N228" s="35">
        <v>0.63541666666666663</v>
      </c>
      <c r="O228" s="37">
        <f>IF(N228&gt;M228,N228-M228,(N228+1)-M228)</f>
        <v>6.9444444444444198E-3</v>
      </c>
      <c r="P228" s="29" t="s">
        <v>114</v>
      </c>
      <c r="Q228" s="29" t="s">
        <v>117</v>
      </c>
      <c r="R228" s="29" t="s">
        <v>118</v>
      </c>
      <c r="S228" s="38" t="s">
        <v>46</v>
      </c>
      <c r="T228" s="39" t="s">
        <v>73</v>
      </c>
      <c r="U228" s="39" t="s">
        <v>59</v>
      </c>
      <c r="V228" s="38" t="s">
        <v>104</v>
      </c>
      <c r="W228" s="40" t="s">
        <v>59</v>
      </c>
      <c r="X228" s="13" t="s">
        <v>59</v>
      </c>
      <c r="Y228" s="13" t="s">
        <v>59</v>
      </c>
      <c r="Z228" s="13" t="s">
        <v>59</v>
      </c>
      <c r="AA228" s="13" t="s">
        <v>59</v>
      </c>
      <c r="AB228" s="41" t="s">
        <v>59</v>
      </c>
      <c r="AC228" s="16" t="s">
        <v>59</v>
      </c>
      <c r="AD228" s="42" t="s">
        <v>59</v>
      </c>
      <c r="AE228" s="42">
        <v>22.15</v>
      </c>
      <c r="AF228" s="42">
        <v>0.17</v>
      </c>
      <c r="AG228" s="43" t="s">
        <v>59</v>
      </c>
      <c r="AH228" s="43" t="s">
        <v>59</v>
      </c>
      <c r="AI228" s="43" t="s">
        <v>59</v>
      </c>
      <c r="AJ228" s="17" t="s">
        <v>59</v>
      </c>
      <c r="AK228" s="17" t="s">
        <v>59</v>
      </c>
      <c r="AL228" s="17">
        <v>3.7152163801566789</v>
      </c>
      <c r="AM228" s="17" t="s">
        <v>59</v>
      </c>
      <c r="AN228" s="17" t="s">
        <v>59</v>
      </c>
      <c r="AO228" s="44" t="s">
        <v>61</v>
      </c>
    </row>
    <row r="229" spans="1:41" ht="12" customHeight="1" x14ac:dyDescent="0.35">
      <c r="A229" s="29" t="s">
        <v>96</v>
      </c>
      <c r="B229" s="30" t="s">
        <v>200</v>
      </c>
      <c r="C229" s="29">
        <v>26</v>
      </c>
      <c r="D229" s="29" t="s">
        <v>201</v>
      </c>
      <c r="E229" s="31" t="s">
        <v>205</v>
      </c>
      <c r="F229" s="29">
        <v>2724</v>
      </c>
      <c r="G229" s="29" t="s">
        <v>59</v>
      </c>
      <c r="H229" s="32">
        <v>46103</v>
      </c>
      <c r="I229" s="33">
        <v>46103</v>
      </c>
      <c r="J229" s="34" t="s">
        <v>74</v>
      </c>
      <c r="K229" s="35">
        <v>0.85826388888888894</v>
      </c>
      <c r="L229" s="35">
        <v>0.87545138888888885</v>
      </c>
      <c r="M229" s="36">
        <v>0.89993055555555557</v>
      </c>
      <c r="N229" s="35">
        <v>0.91711805555555559</v>
      </c>
      <c r="O229" s="37">
        <f>IF(N229&gt;M229,N229-M229,(N229+1)-M229)</f>
        <v>1.7187500000000022E-2</v>
      </c>
      <c r="P229" s="29" t="s">
        <v>207</v>
      </c>
      <c r="Q229" s="29" t="s">
        <v>59</v>
      </c>
      <c r="R229" s="29" t="s">
        <v>207</v>
      </c>
      <c r="S229" s="38" t="s">
        <v>49</v>
      </c>
      <c r="T229" s="39" t="s">
        <v>73</v>
      </c>
      <c r="U229" s="39" t="s">
        <v>59</v>
      </c>
      <c r="V229" s="38" t="s">
        <v>107</v>
      </c>
      <c r="W229" s="40" t="s">
        <v>59</v>
      </c>
      <c r="X229" s="13" t="s">
        <v>59</v>
      </c>
      <c r="Y229" s="13" t="s">
        <v>59</v>
      </c>
      <c r="Z229" s="13" t="s">
        <v>59</v>
      </c>
      <c r="AA229" s="13" t="s">
        <v>59</v>
      </c>
      <c r="AB229" s="41" t="s">
        <v>59</v>
      </c>
      <c r="AC229" s="16" t="s">
        <v>59</v>
      </c>
      <c r="AD229" s="42" t="s">
        <v>59</v>
      </c>
      <c r="AE229" s="42">
        <v>100.6</v>
      </c>
      <c r="AF229" s="42">
        <v>0.87</v>
      </c>
      <c r="AG229" s="43" t="s">
        <v>59</v>
      </c>
      <c r="AH229" s="43" t="s">
        <v>59</v>
      </c>
      <c r="AI229" s="43" t="s">
        <v>59</v>
      </c>
      <c r="AJ229" s="17" t="s">
        <v>59</v>
      </c>
      <c r="AK229" s="17" t="s">
        <v>59</v>
      </c>
      <c r="AL229" s="17">
        <v>3.7608788481978928</v>
      </c>
      <c r="AM229" s="17" t="s">
        <v>59</v>
      </c>
      <c r="AN229" s="17" t="s">
        <v>59</v>
      </c>
      <c r="AO229" s="44" t="s">
        <v>61</v>
      </c>
    </row>
    <row r="230" spans="1:41" ht="12" customHeight="1" x14ac:dyDescent="0.35">
      <c r="A230" s="29" t="s">
        <v>68</v>
      </c>
      <c r="B230" s="30" t="s">
        <v>111</v>
      </c>
      <c r="C230" s="29">
        <v>78</v>
      </c>
      <c r="D230" s="29" t="s">
        <v>112</v>
      </c>
      <c r="E230" s="31" t="s">
        <v>113</v>
      </c>
      <c r="F230" s="29">
        <v>2874</v>
      </c>
      <c r="G230" s="29" t="s">
        <v>59</v>
      </c>
      <c r="H230" s="32">
        <v>46102</v>
      </c>
      <c r="I230" s="33">
        <v>46102</v>
      </c>
      <c r="J230" s="34" t="s">
        <v>71</v>
      </c>
      <c r="K230" s="35">
        <v>0.48819444444444443</v>
      </c>
      <c r="L230" s="35">
        <v>0.54166666666666663</v>
      </c>
      <c r="M230" s="36">
        <v>0.36319444444444443</v>
      </c>
      <c r="N230" s="35">
        <v>0.41666666666666669</v>
      </c>
      <c r="O230" s="37">
        <f>IF(N230&gt;M230,N230-M230,(N230+1)-M230)</f>
        <v>5.3472222222222254E-2</v>
      </c>
      <c r="P230" s="29" t="s">
        <v>114</v>
      </c>
      <c r="Q230" s="29" t="s">
        <v>115</v>
      </c>
      <c r="R230" s="29" t="s">
        <v>116</v>
      </c>
      <c r="S230" s="38" t="s">
        <v>46</v>
      </c>
      <c r="T230" s="39" t="s">
        <v>73</v>
      </c>
      <c r="U230" s="39" t="s">
        <v>59</v>
      </c>
      <c r="V230" s="38" t="s">
        <v>104</v>
      </c>
      <c r="W230" s="40" t="s">
        <v>59</v>
      </c>
      <c r="X230" s="13" t="s">
        <v>59</v>
      </c>
      <c r="Y230" s="13" t="s">
        <v>59</v>
      </c>
      <c r="Z230" s="13" t="s">
        <v>59</v>
      </c>
      <c r="AA230" s="13" t="s">
        <v>59</v>
      </c>
      <c r="AB230" s="41" t="s">
        <v>59</v>
      </c>
      <c r="AC230" s="16" t="s">
        <v>59</v>
      </c>
      <c r="AD230" s="42" t="s">
        <v>59</v>
      </c>
      <c r="AE230" s="42">
        <v>9.9</v>
      </c>
      <c r="AF230" s="42">
        <v>0.14000000000000001</v>
      </c>
      <c r="AG230" s="43" t="s">
        <v>59</v>
      </c>
      <c r="AH230" s="43" t="s">
        <v>59</v>
      </c>
      <c r="AI230" s="43" t="s">
        <v>59</v>
      </c>
      <c r="AJ230" s="17" t="s">
        <v>59</v>
      </c>
      <c r="AK230" s="17" t="s">
        <v>59</v>
      </c>
      <c r="AL230" s="17">
        <v>3.8017477944943652</v>
      </c>
      <c r="AM230" s="17" t="s">
        <v>59</v>
      </c>
      <c r="AN230" s="17" t="s">
        <v>59</v>
      </c>
      <c r="AO230" s="44" t="s">
        <v>61</v>
      </c>
    </row>
    <row r="231" spans="1:41" ht="12" customHeight="1" x14ac:dyDescent="0.35">
      <c r="A231" s="29" t="s">
        <v>96</v>
      </c>
      <c r="B231" s="30" t="s">
        <v>64</v>
      </c>
      <c r="C231" s="29">
        <v>19</v>
      </c>
      <c r="D231" s="29" t="s">
        <v>177</v>
      </c>
      <c r="E231" s="31" t="s">
        <v>178</v>
      </c>
      <c r="F231" s="29">
        <v>2925</v>
      </c>
      <c r="G231" s="29" t="s">
        <v>59</v>
      </c>
      <c r="H231" s="32">
        <v>46104</v>
      </c>
      <c r="I231" s="33">
        <v>46104</v>
      </c>
      <c r="J231" s="34" t="s">
        <v>67</v>
      </c>
      <c r="K231" s="35">
        <v>8.5231481481481478E-2</v>
      </c>
      <c r="L231" s="35">
        <v>0.21358796296296295</v>
      </c>
      <c r="M231" s="36">
        <v>0.12689814814814815</v>
      </c>
      <c r="N231" s="35">
        <v>0.25525462962962964</v>
      </c>
      <c r="O231" s="37">
        <f>IF(N231&gt;M231,N231-M231,(N231+1)-M231)</f>
        <v>0.12835648148148149</v>
      </c>
      <c r="P231" s="29" t="s">
        <v>179</v>
      </c>
      <c r="Q231" s="29" t="s">
        <v>182</v>
      </c>
      <c r="R231" s="29" t="s">
        <v>183</v>
      </c>
      <c r="S231" s="38" t="s">
        <v>48</v>
      </c>
      <c r="T231" s="39" t="s">
        <v>73</v>
      </c>
      <c r="U231" s="39" t="s">
        <v>59</v>
      </c>
      <c r="V231" s="38" t="s">
        <v>107</v>
      </c>
      <c r="W231" s="40" t="s">
        <v>59</v>
      </c>
      <c r="X231" s="13" t="s">
        <v>59</v>
      </c>
      <c r="Y231" s="13" t="s">
        <v>59</v>
      </c>
      <c r="Z231" s="13" t="s">
        <v>59</v>
      </c>
      <c r="AA231" s="13" t="s">
        <v>59</v>
      </c>
      <c r="AB231" s="41" t="s">
        <v>59</v>
      </c>
      <c r="AC231" s="16" t="s">
        <v>59</v>
      </c>
      <c r="AD231" s="42" t="s">
        <v>59</v>
      </c>
      <c r="AE231" s="42">
        <v>7.8</v>
      </c>
      <c r="AF231" s="42">
        <v>0.73</v>
      </c>
      <c r="AG231" s="43" t="s">
        <v>59</v>
      </c>
      <c r="AH231" s="43" t="s">
        <v>59</v>
      </c>
      <c r="AI231" s="43" t="s">
        <v>59</v>
      </c>
      <c r="AJ231" s="17" t="s">
        <v>59</v>
      </c>
      <c r="AK231" s="17" t="s">
        <v>59</v>
      </c>
      <c r="AL231" s="17">
        <v>3.8758316668818922</v>
      </c>
      <c r="AM231" s="17" t="s">
        <v>59</v>
      </c>
      <c r="AN231" s="17" t="s">
        <v>59</v>
      </c>
      <c r="AO231" s="44" t="s">
        <v>61</v>
      </c>
    </row>
    <row r="232" spans="1:41" ht="12" customHeight="1" x14ac:dyDescent="0.35">
      <c r="A232" s="29" t="s">
        <v>68</v>
      </c>
      <c r="B232" s="30" t="s">
        <v>111</v>
      </c>
      <c r="C232" s="29">
        <v>78</v>
      </c>
      <c r="D232" s="29" t="s">
        <v>112</v>
      </c>
      <c r="E232" s="31" t="s">
        <v>121</v>
      </c>
      <c r="F232" s="29">
        <v>4586</v>
      </c>
      <c r="G232" s="29" t="s">
        <v>59</v>
      </c>
      <c r="H232" s="32">
        <v>46102</v>
      </c>
      <c r="I232" s="33">
        <v>46102</v>
      </c>
      <c r="J232" s="34" t="s">
        <v>71</v>
      </c>
      <c r="K232" s="35">
        <v>0.72569444444444442</v>
      </c>
      <c r="L232" s="35">
        <v>0.75277777777777777</v>
      </c>
      <c r="M232" s="36">
        <v>0.60069444444444442</v>
      </c>
      <c r="N232" s="35">
        <v>0.62777777777777777</v>
      </c>
      <c r="O232" s="37">
        <f>IF(N232&gt;M232,N232-M232,(N232+1)-M232)</f>
        <v>2.7083333333333348E-2</v>
      </c>
      <c r="P232" s="29" t="s">
        <v>114</v>
      </c>
      <c r="Q232" s="29" t="s">
        <v>115</v>
      </c>
      <c r="R232" s="29" t="s">
        <v>116</v>
      </c>
      <c r="S232" s="38" t="s">
        <v>46</v>
      </c>
      <c r="T232" s="39" t="s">
        <v>73</v>
      </c>
      <c r="U232" s="39" t="s">
        <v>59</v>
      </c>
      <c r="V232" s="38" t="s">
        <v>104</v>
      </c>
      <c r="W232" s="40" t="s">
        <v>59</v>
      </c>
      <c r="X232" s="13" t="s">
        <v>59</v>
      </c>
      <c r="Y232" s="13" t="s">
        <v>59</v>
      </c>
      <c r="Z232" s="13" t="s">
        <v>59</v>
      </c>
      <c r="AA232" s="13" t="s">
        <v>59</v>
      </c>
      <c r="AB232" s="41" t="s">
        <v>59</v>
      </c>
      <c r="AC232" s="16" t="s">
        <v>59</v>
      </c>
      <c r="AD232" s="42" t="s">
        <v>59</v>
      </c>
      <c r="AE232" s="42">
        <v>23.22</v>
      </c>
      <c r="AF232" s="42">
        <v>0.18</v>
      </c>
      <c r="AG232" s="43" t="s">
        <v>59</v>
      </c>
      <c r="AH232" s="43" t="s">
        <v>59</v>
      </c>
      <c r="AI232" s="43" t="s">
        <v>59</v>
      </c>
      <c r="AJ232" s="17" t="s">
        <v>59</v>
      </c>
      <c r="AK232" s="17" t="s">
        <v>59</v>
      </c>
      <c r="AL232" s="17">
        <v>3.8946873294464148</v>
      </c>
      <c r="AM232" s="17" t="s">
        <v>59</v>
      </c>
      <c r="AN232" s="17" t="s">
        <v>59</v>
      </c>
      <c r="AO232" s="44" t="s">
        <v>61</v>
      </c>
    </row>
    <row r="233" spans="1:41" ht="12" customHeight="1" x14ac:dyDescent="0.35">
      <c r="A233" s="29" t="s">
        <v>96</v>
      </c>
      <c r="B233" s="30" t="s">
        <v>138</v>
      </c>
      <c r="C233" s="29">
        <v>11</v>
      </c>
      <c r="D233" s="29" t="s">
        <v>139</v>
      </c>
      <c r="E233" s="31" t="s">
        <v>140</v>
      </c>
      <c r="F233" s="29">
        <v>1088</v>
      </c>
      <c r="G233" s="29" t="s">
        <v>59</v>
      </c>
      <c r="H233" s="32">
        <v>46103</v>
      </c>
      <c r="I233" s="33">
        <v>46103</v>
      </c>
      <c r="J233" s="34" t="s">
        <v>74</v>
      </c>
      <c r="K233" s="35">
        <v>0.68715277777777772</v>
      </c>
      <c r="L233" s="35">
        <v>0.68748842592592596</v>
      </c>
      <c r="M233" s="36">
        <v>0.77048611111111109</v>
      </c>
      <c r="N233" s="35">
        <v>0.77082175925925922</v>
      </c>
      <c r="O233" s="37">
        <f>IF(N233&gt;M233,N233-M233,(N233+1)-M233)</f>
        <v>3.356481481481266E-4</v>
      </c>
      <c r="P233" s="29" t="s">
        <v>141</v>
      </c>
      <c r="Q233" s="29" t="s">
        <v>142</v>
      </c>
      <c r="R233" s="29" t="s">
        <v>143</v>
      </c>
      <c r="S233" s="38" t="s">
        <v>49</v>
      </c>
      <c r="T233" s="39" t="s">
        <v>73</v>
      </c>
      <c r="U233" s="39" t="s">
        <v>59</v>
      </c>
      <c r="V233" s="38" t="s">
        <v>107</v>
      </c>
      <c r="W233" s="40" t="s">
        <v>59</v>
      </c>
      <c r="X233" s="13" t="s">
        <v>59</v>
      </c>
      <c r="Y233" s="13" t="s">
        <v>59</v>
      </c>
      <c r="Z233" s="13" t="s">
        <v>59</v>
      </c>
      <c r="AA233" s="13" t="s">
        <v>59</v>
      </c>
      <c r="AB233" s="41" t="s">
        <v>59</v>
      </c>
      <c r="AC233" s="16" t="s">
        <v>59</v>
      </c>
      <c r="AD233" s="42" t="s">
        <v>59</v>
      </c>
      <c r="AE233" s="42">
        <v>29.4</v>
      </c>
      <c r="AF233" s="42">
        <v>11.27</v>
      </c>
      <c r="AG233" s="43" t="s">
        <v>59</v>
      </c>
      <c r="AH233" s="43" t="s">
        <v>59</v>
      </c>
      <c r="AI233" s="43" t="s">
        <v>59</v>
      </c>
      <c r="AJ233" s="17" t="s">
        <v>59</v>
      </c>
      <c r="AK233" s="17" t="s">
        <v>59</v>
      </c>
      <c r="AL233" s="17">
        <v>3.92</v>
      </c>
      <c r="AM233" s="17" t="s">
        <v>59</v>
      </c>
      <c r="AN233" s="17" t="s">
        <v>59</v>
      </c>
      <c r="AO233" s="44" t="s">
        <v>61</v>
      </c>
    </row>
    <row r="234" spans="1:41" ht="12" customHeight="1" x14ac:dyDescent="0.35">
      <c r="A234" s="29" t="s">
        <v>68</v>
      </c>
      <c r="B234" s="30" t="s">
        <v>58</v>
      </c>
      <c r="C234" s="29">
        <v>74</v>
      </c>
      <c r="D234" s="29" t="s">
        <v>69</v>
      </c>
      <c r="E234" s="31" t="s">
        <v>70</v>
      </c>
      <c r="F234" s="29">
        <v>2845</v>
      </c>
      <c r="G234" s="29" t="s">
        <v>59</v>
      </c>
      <c r="H234" s="32">
        <v>46102</v>
      </c>
      <c r="I234" s="33">
        <v>46102</v>
      </c>
      <c r="J234" s="34" t="s">
        <v>71</v>
      </c>
      <c r="K234" s="35">
        <v>0.50008101851851849</v>
      </c>
      <c r="L234" s="35">
        <v>0.59819444444444447</v>
      </c>
      <c r="M234" s="36">
        <v>0.37508101851851849</v>
      </c>
      <c r="N234" s="35">
        <v>0.47319444444444442</v>
      </c>
      <c r="O234" s="37">
        <f>IF(N234&gt;M234,N234-M234,(N234+1)-M234)</f>
        <v>9.8113425925925923E-2</v>
      </c>
      <c r="P234" s="29" t="s">
        <v>72</v>
      </c>
      <c r="Q234" s="29" t="s">
        <v>59</v>
      </c>
      <c r="R234" s="29" t="s">
        <v>72</v>
      </c>
      <c r="S234" s="38" t="s">
        <v>46</v>
      </c>
      <c r="T234" s="39" t="s">
        <v>73</v>
      </c>
      <c r="U234" s="39" t="s">
        <v>59</v>
      </c>
      <c r="V234" s="38" t="s">
        <v>104</v>
      </c>
      <c r="W234" s="40" t="s">
        <v>59</v>
      </c>
      <c r="X234" s="13" t="s">
        <v>59</v>
      </c>
      <c r="Y234" s="13" t="s">
        <v>59</v>
      </c>
      <c r="Z234" s="13" t="s">
        <v>59</v>
      </c>
      <c r="AA234" s="13" t="s">
        <v>59</v>
      </c>
      <c r="AB234" s="41" t="s">
        <v>59</v>
      </c>
      <c r="AC234" s="16" t="s">
        <v>59</v>
      </c>
      <c r="AD234" s="42" t="s">
        <v>59</v>
      </c>
      <c r="AE234" s="42">
        <v>8.4</v>
      </c>
      <c r="AF234" s="42">
        <v>0.32</v>
      </c>
      <c r="AG234" s="43" t="s">
        <v>59</v>
      </c>
      <c r="AH234" s="43" t="s">
        <v>59</v>
      </c>
      <c r="AI234" s="43" t="s">
        <v>59</v>
      </c>
      <c r="AJ234" s="17" t="s">
        <v>59</v>
      </c>
      <c r="AK234" s="17" t="s">
        <v>59</v>
      </c>
      <c r="AL234" s="17">
        <v>3.9836770229007632</v>
      </c>
      <c r="AM234" s="17" t="s">
        <v>59</v>
      </c>
      <c r="AN234" s="17" t="s">
        <v>59</v>
      </c>
      <c r="AO234" s="44" t="s">
        <v>61</v>
      </c>
    </row>
    <row r="235" spans="1:41" ht="12" customHeight="1" x14ac:dyDescent="0.35">
      <c r="A235" s="29" t="s">
        <v>96</v>
      </c>
      <c r="B235" s="30" t="s">
        <v>200</v>
      </c>
      <c r="C235" s="29">
        <v>26</v>
      </c>
      <c r="D235" s="29" t="s">
        <v>201</v>
      </c>
      <c r="E235" s="31" t="s">
        <v>205</v>
      </c>
      <c r="F235" s="29">
        <v>2724</v>
      </c>
      <c r="G235" s="29" t="s">
        <v>59</v>
      </c>
      <c r="H235" s="32">
        <v>46101</v>
      </c>
      <c r="I235" s="33">
        <v>46101</v>
      </c>
      <c r="J235" s="34" t="s">
        <v>79</v>
      </c>
      <c r="K235" s="35">
        <v>0.8606018518518519</v>
      </c>
      <c r="L235" s="35">
        <v>0.86980324074074078</v>
      </c>
      <c r="M235" s="36">
        <v>0.90226851851851853</v>
      </c>
      <c r="N235" s="35">
        <v>0.91146990740740741</v>
      </c>
      <c r="O235" s="37">
        <f>IF(N235&gt;M235,N235-M235,(N235+1)-M235)</f>
        <v>9.201388888888884E-3</v>
      </c>
      <c r="P235" s="29" t="s">
        <v>207</v>
      </c>
      <c r="Q235" s="29" t="s">
        <v>59</v>
      </c>
      <c r="R235" s="29" t="s">
        <v>207</v>
      </c>
      <c r="S235" s="38" t="s">
        <v>49</v>
      </c>
      <c r="T235" s="39" t="s">
        <v>73</v>
      </c>
      <c r="U235" s="39" t="s">
        <v>59</v>
      </c>
      <c r="V235" s="38" t="s">
        <v>100</v>
      </c>
      <c r="W235" s="40" t="s">
        <v>59</v>
      </c>
      <c r="X235" s="13" t="s">
        <v>59</v>
      </c>
      <c r="Y235" s="13" t="s">
        <v>59</v>
      </c>
      <c r="Z235" s="13" t="s">
        <v>59</v>
      </c>
      <c r="AA235" s="13" t="s">
        <v>59</v>
      </c>
      <c r="AB235" s="41" t="s">
        <v>59</v>
      </c>
      <c r="AC235" s="16" t="s">
        <v>59</v>
      </c>
      <c r="AD235" s="42" t="s">
        <v>59</v>
      </c>
      <c r="AE235" s="42">
        <v>107.5</v>
      </c>
      <c r="AF235" s="42">
        <v>1.03</v>
      </c>
      <c r="AG235" s="43" t="s">
        <v>59</v>
      </c>
      <c r="AH235" s="43" t="s">
        <v>59</v>
      </c>
      <c r="AI235" s="43" t="s">
        <v>59</v>
      </c>
      <c r="AJ235" s="17" t="s">
        <v>59</v>
      </c>
      <c r="AK235" s="17" t="s">
        <v>59</v>
      </c>
      <c r="AL235" s="17">
        <v>4.0188317711856216</v>
      </c>
      <c r="AM235" s="17" t="s">
        <v>59</v>
      </c>
      <c r="AN235" s="17" t="s">
        <v>59</v>
      </c>
      <c r="AO235" s="44" t="s">
        <v>61</v>
      </c>
    </row>
    <row r="236" spans="1:41" ht="12" customHeight="1" x14ac:dyDescent="0.35">
      <c r="A236" s="29" t="s">
        <v>65</v>
      </c>
      <c r="B236" s="30" t="s">
        <v>60</v>
      </c>
      <c r="C236" s="29">
        <v>39</v>
      </c>
      <c r="D236" s="29" t="s">
        <v>66</v>
      </c>
      <c r="E236" s="31" t="s">
        <v>370</v>
      </c>
      <c r="F236" s="29">
        <v>33341</v>
      </c>
      <c r="G236" s="29" t="s">
        <v>59</v>
      </c>
      <c r="H236" s="32">
        <v>46104</v>
      </c>
      <c r="I236" s="33">
        <v>46104</v>
      </c>
      <c r="J236" s="34" t="s">
        <v>67</v>
      </c>
      <c r="K236" s="35">
        <v>0.43047453703703703</v>
      </c>
      <c r="L236" s="35">
        <v>0.5521759259259259</v>
      </c>
      <c r="M236" s="36">
        <v>0.51380787037037035</v>
      </c>
      <c r="N236" s="35">
        <v>0.63550925925925927</v>
      </c>
      <c r="O236" s="37">
        <f>IF(N236&gt;M236,N236-M236,(N236+1)-M236)</f>
        <v>0.12170138888888893</v>
      </c>
      <c r="P236" s="29" t="s">
        <v>225</v>
      </c>
      <c r="Q236" s="29" t="s">
        <v>59</v>
      </c>
      <c r="R236" s="29" t="s">
        <v>225</v>
      </c>
      <c r="S236" s="38" t="s">
        <v>48</v>
      </c>
      <c r="T236" s="39" t="s">
        <v>73</v>
      </c>
      <c r="U236" s="39" t="s">
        <v>59</v>
      </c>
      <c r="V236" s="38" t="s">
        <v>107</v>
      </c>
      <c r="W236" s="40" t="s">
        <v>59</v>
      </c>
      <c r="X236" s="13" t="s">
        <v>59</v>
      </c>
      <c r="Y236" s="13" t="s">
        <v>59</v>
      </c>
      <c r="Z236" s="13" t="s">
        <v>59</v>
      </c>
      <c r="AA236" s="13" t="s">
        <v>59</v>
      </c>
      <c r="AB236" s="41" t="s">
        <v>59</v>
      </c>
      <c r="AC236" s="16" t="s">
        <v>59</v>
      </c>
      <c r="AD236" s="42" t="s">
        <v>59</v>
      </c>
      <c r="AE236" s="42">
        <v>6.1</v>
      </c>
      <c r="AF236" s="42">
        <v>7.0000000000000007E-2</v>
      </c>
      <c r="AG236" s="43" t="s">
        <v>59</v>
      </c>
      <c r="AH236" s="43" t="s">
        <v>59</v>
      </c>
      <c r="AI236" s="43" t="s">
        <v>59</v>
      </c>
      <c r="AJ236" s="17" t="s">
        <v>59</v>
      </c>
      <c r="AK236" s="17" t="s">
        <v>59</v>
      </c>
      <c r="AL236" s="17">
        <v>4.0666666666666664</v>
      </c>
      <c r="AM236" s="17" t="s">
        <v>59</v>
      </c>
      <c r="AN236" s="17" t="s">
        <v>59</v>
      </c>
      <c r="AO236" s="44" t="s">
        <v>61</v>
      </c>
    </row>
    <row r="237" spans="1:41" ht="12" customHeight="1" x14ac:dyDescent="0.35">
      <c r="A237" s="29" t="s">
        <v>68</v>
      </c>
      <c r="B237" s="30" t="s">
        <v>111</v>
      </c>
      <c r="C237" s="29">
        <v>78</v>
      </c>
      <c r="D237" s="29" t="s">
        <v>112</v>
      </c>
      <c r="E237" s="31" t="s">
        <v>113</v>
      </c>
      <c r="F237" s="29">
        <v>2874</v>
      </c>
      <c r="G237" s="29" t="s">
        <v>59</v>
      </c>
      <c r="H237" s="32">
        <v>46103</v>
      </c>
      <c r="I237" s="33">
        <v>46103</v>
      </c>
      <c r="J237" s="34" t="s">
        <v>74</v>
      </c>
      <c r="K237" s="35">
        <v>0.44791666666666669</v>
      </c>
      <c r="L237" s="35">
        <v>0.45902777777777776</v>
      </c>
      <c r="M237" s="36">
        <v>0.32291666666666669</v>
      </c>
      <c r="N237" s="35">
        <v>0.33402777777777776</v>
      </c>
      <c r="O237" s="37">
        <f>IF(N237&gt;M237,N237-M237,(N237+1)-M237)</f>
        <v>1.1111111111111072E-2</v>
      </c>
      <c r="P237" s="29" t="s">
        <v>114</v>
      </c>
      <c r="Q237" s="29" t="s">
        <v>117</v>
      </c>
      <c r="R237" s="29" t="s">
        <v>118</v>
      </c>
      <c r="S237" s="38" t="s">
        <v>46</v>
      </c>
      <c r="T237" s="39" t="s">
        <v>73</v>
      </c>
      <c r="U237" s="39" t="s">
        <v>59</v>
      </c>
      <c r="V237" s="38" t="s">
        <v>107</v>
      </c>
      <c r="W237" s="40" t="s">
        <v>59</v>
      </c>
      <c r="X237" s="13" t="s">
        <v>59</v>
      </c>
      <c r="Y237" s="13" t="s">
        <v>59</v>
      </c>
      <c r="Z237" s="13" t="s">
        <v>59</v>
      </c>
      <c r="AA237" s="13" t="s">
        <v>59</v>
      </c>
      <c r="AB237" s="41" t="s">
        <v>59</v>
      </c>
      <c r="AC237" s="16" t="s">
        <v>59</v>
      </c>
      <c r="AD237" s="42" t="s">
        <v>59</v>
      </c>
      <c r="AE237" s="42">
        <v>10.61</v>
      </c>
      <c r="AF237" s="42">
        <v>0.22</v>
      </c>
      <c r="AG237" s="43" t="s">
        <v>59</v>
      </c>
      <c r="AH237" s="43" t="s">
        <v>59</v>
      </c>
      <c r="AI237" s="43" t="s">
        <v>59</v>
      </c>
      <c r="AJ237" s="17" t="s">
        <v>59</v>
      </c>
      <c r="AK237" s="17" t="s">
        <v>59</v>
      </c>
      <c r="AL237" s="17">
        <v>4.0743983938974955</v>
      </c>
      <c r="AM237" s="17" t="s">
        <v>59</v>
      </c>
      <c r="AN237" s="17" t="s">
        <v>59</v>
      </c>
      <c r="AO237" s="44" t="s">
        <v>61</v>
      </c>
    </row>
    <row r="238" spans="1:41" ht="12" customHeight="1" x14ac:dyDescent="0.35">
      <c r="A238" s="29" t="s">
        <v>96</v>
      </c>
      <c r="B238" s="30" t="s">
        <v>266</v>
      </c>
      <c r="C238" s="29">
        <v>35</v>
      </c>
      <c r="D238" s="29" t="s">
        <v>267</v>
      </c>
      <c r="E238" s="31" t="s">
        <v>270</v>
      </c>
      <c r="F238" s="29">
        <v>3986</v>
      </c>
      <c r="G238" s="29" t="s">
        <v>59</v>
      </c>
      <c r="H238" s="32">
        <v>46101</v>
      </c>
      <c r="I238" s="33">
        <v>46101</v>
      </c>
      <c r="J238" s="34" t="s">
        <v>79</v>
      </c>
      <c r="K238" s="35">
        <v>0.375</v>
      </c>
      <c r="L238" s="35">
        <v>0.54166666666666663</v>
      </c>
      <c r="M238" s="36">
        <v>0.375</v>
      </c>
      <c r="N238" s="35">
        <v>0.54166666666666663</v>
      </c>
      <c r="O238" s="37">
        <f>IF(N238&gt;M238,N238-M238,(N238+1)-M238)</f>
        <v>0.16666666666666663</v>
      </c>
      <c r="P238" s="29" t="s">
        <v>268</v>
      </c>
      <c r="Q238" s="29" t="s">
        <v>59</v>
      </c>
      <c r="R238" s="29" t="s">
        <v>268</v>
      </c>
      <c r="S238" s="38" t="s">
        <v>46</v>
      </c>
      <c r="T238" s="39" t="s">
        <v>73</v>
      </c>
      <c r="U238" s="39" t="s">
        <v>59</v>
      </c>
      <c r="V238" s="38" t="s">
        <v>100</v>
      </c>
      <c r="W238" s="40" t="s">
        <v>59</v>
      </c>
      <c r="X238" s="13" t="s">
        <v>59</v>
      </c>
      <c r="Y238" s="13" t="s">
        <v>59</v>
      </c>
      <c r="Z238" s="13" t="s">
        <v>59</v>
      </c>
      <c r="AA238" s="13" t="s">
        <v>59</v>
      </c>
      <c r="AB238" s="41" t="s">
        <v>59</v>
      </c>
      <c r="AC238" s="16" t="s">
        <v>59</v>
      </c>
      <c r="AD238" s="42" t="s">
        <v>59</v>
      </c>
      <c r="AE238" s="42">
        <v>11.4</v>
      </c>
      <c r="AF238" s="42">
        <v>0</v>
      </c>
      <c r="AG238" s="43" t="s">
        <v>59</v>
      </c>
      <c r="AH238" s="43" t="s">
        <v>59</v>
      </c>
      <c r="AI238" s="43" t="s">
        <v>59</v>
      </c>
      <c r="AJ238" s="17" t="s">
        <v>59</v>
      </c>
      <c r="AK238" s="17" t="s">
        <v>59</v>
      </c>
      <c r="AL238" s="17">
        <v>4.0926</v>
      </c>
      <c r="AM238" s="17" t="s">
        <v>59</v>
      </c>
      <c r="AN238" s="17" t="s">
        <v>59</v>
      </c>
      <c r="AO238" s="44" t="s">
        <v>61</v>
      </c>
    </row>
    <row r="239" spans="1:41" ht="12" customHeight="1" x14ac:dyDescent="0.35">
      <c r="A239" s="29" t="s">
        <v>96</v>
      </c>
      <c r="B239" s="30" t="s">
        <v>238</v>
      </c>
      <c r="C239" s="29">
        <v>6</v>
      </c>
      <c r="D239" s="29" t="s">
        <v>239</v>
      </c>
      <c r="E239" s="31" t="s">
        <v>240</v>
      </c>
      <c r="F239" s="29">
        <v>3164</v>
      </c>
      <c r="G239" s="29" t="s">
        <v>59</v>
      </c>
      <c r="H239" s="32">
        <v>46101</v>
      </c>
      <c r="I239" s="33">
        <v>46101</v>
      </c>
      <c r="J239" s="34" t="s">
        <v>79</v>
      </c>
      <c r="K239" s="35">
        <v>0.37518518518518518</v>
      </c>
      <c r="L239" s="35">
        <v>0.37912037037037039</v>
      </c>
      <c r="M239" s="36">
        <v>0.41685185185185186</v>
      </c>
      <c r="N239" s="35">
        <v>0.42078703703703701</v>
      </c>
      <c r="O239" s="37">
        <f>IF(N239&gt;M239,N239-M239,(N239+1)-M239)</f>
        <v>3.9351851851851527E-3</v>
      </c>
      <c r="P239" s="29" t="s">
        <v>241</v>
      </c>
      <c r="Q239" s="29" t="s">
        <v>242</v>
      </c>
      <c r="R239" s="29" t="s">
        <v>243</v>
      </c>
      <c r="S239" s="38" t="s">
        <v>46</v>
      </c>
      <c r="T239" s="39" t="s">
        <v>73</v>
      </c>
      <c r="U239" s="39" t="s">
        <v>59</v>
      </c>
      <c r="V239" s="38" t="s">
        <v>100</v>
      </c>
      <c r="W239" s="40" t="s">
        <v>59</v>
      </c>
      <c r="X239" s="13" t="s">
        <v>59</v>
      </c>
      <c r="Y239" s="13" t="s">
        <v>59</v>
      </c>
      <c r="Z239" s="13" t="s">
        <v>59</v>
      </c>
      <c r="AA239" s="13" t="s">
        <v>59</v>
      </c>
      <c r="AB239" s="41" t="s">
        <v>59</v>
      </c>
      <c r="AC239" s="16" t="s">
        <v>59</v>
      </c>
      <c r="AD239" s="42" t="s">
        <v>59</v>
      </c>
      <c r="AE239" s="42">
        <v>5.0999999999999996</v>
      </c>
      <c r="AF239" s="42">
        <v>2.6</v>
      </c>
      <c r="AG239" s="43" t="s">
        <v>59</v>
      </c>
      <c r="AH239" s="43" t="s">
        <v>59</v>
      </c>
      <c r="AI239" s="43" t="s">
        <v>59</v>
      </c>
      <c r="AJ239" s="17" t="s">
        <v>59</v>
      </c>
      <c r="AK239" s="17" t="s">
        <v>59</v>
      </c>
      <c r="AL239" s="17">
        <v>4.1093250000000001</v>
      </c>
      <c r="AM239" s="17" t="s">
        <v>59</v>
      </c>
      <c r="AN239" s="17" t="s">
        <v>59</v>
      </c>
      <c r="AO239" s="44" t="s">
        <v>61</v>
      </c>
    </row>
    <row r="240" spans="1:41" ht="12" customHeight="1" x14ac:dyDescent="0.35">
      <c r="A240" s="29" t="s">
        <v>65</v>
      </c>
      <c r="B240" s="30" t="s">
        <v>60</v>
      </c>
      <c r="C240" s="29">
        <v>39</v>
      </c>
      <c r="D240" s="29" t="s">
        <v>66</v>
      </c>
      <c r="E240" s="31" t="s">
        <v>370</v>
      </c>
      <c r="F240" s="29">
        <v>33341</v>
      </c>
      <c r="G240" s="29" t="s">
        <v>59</v>
      </c>
      <c r="H240" s="32">
        <v>46102</v>
      </c>
      <c r="I240" s="33">
        <v>46102</v>
      </c>
      <c r="J240" s="34" t="s">
        <v>71</v>
      </c>
      <c r="K240" s="35">
        <v>0.32415509259259262</v>
      </c>
      <c r="L240" s="35">
        <v>0.36576388888888889</v>
      </c>
      <c r="M240" s="36">
        <v>0.40748842592592593</v>
      </c>
      <c r="N240" s="35">
        <v>0.4490972222222222</v>
      </c>
      <c r="O240" s="37">
        <f>IF(N240&gt;M240,N240-M240,(N240+1)-M240)</f>
        <v>4.1608796296296269E-2</v>
      </c>
      <c r="P240" s="29" t="s">
        <v>225</v>
      </c>
      <c r="Q240" s="29" t="s">
        <v>59</v>
      </c>
      <c r="R240" s="29" t="s">
        <v>225</v>
      </c>
      <c r="S240" s="38" t="s">
        <v>49</v>
      </c>
      <c r="T240" s="39" t="s">
        <v>73</v>
      </c>
      <c r="U240" s="39" t="s">
        <v>59</v>
      </c>
      <c r="V240" s="38" t="s">
        <v>100</v>
      </c>
      <c r="W240" s="40" t="s">
        <v>59</v>
      </c>
      <c r="X240" s="13" t="s">
        <v>59</v>
      </c>
      <c r="Y240" s="13" t="s">
        <v>59</v>
      </c>
      <c r="Z240" s="13" t="s">
        <v>59</v>
      </c>
      <c r="AA240" s="13" t="s">
        <v>59</v>
      </c>
      <c r="AB240" s="41" t="s">
        <v>59</v>
      </c>
      <c r="AC240" s="16" t="s">
        <v>59</v>
      </c>
      <c r="AD240" s="42" t="s">
        <v>59</v>
      </c>
      <c r="AE240" s="42">
        <v>6.2</v>
      </c>
      <c r="AF240" s="42">
        <v>7.0000000000000007E-2</v>
      </c>
      <c r="AG240" s="43" t="s">
        <v>59</v>
      </c>
      <c r="AH240" s="43" t="s">
        <v>59</v>
      </c>
      <c r="AI240" s="43" t="s">
        <v>59</v>
      </c>
      <c r="AJ240" s="17" t="s">
        <v>59</v>
      </c>
      <c r="AK240" s="17" t="s">
        <v>59</v>
      </c>
      <c r="AL240" s="17">
        <v>4.1333333333333337</v>
      </c>
      <c r="AM240" s="17" t="s">
        <v>59</v>
      </c>
      <c r="AN240" s="17" t="s">
        <v>59</v>
      </c>
      <c r="AO240" s="44" t="s">
        <v>61</v>
      </c>
    </row>
    <row r="241" spans="1:41" ht="12" customHeight="1" x14ac:dyDescent="0.35">
      <c r="A241" s="29" t="s">
        <v>68</v>
      </c>
      <c r="B241" s="30" t="s">
        <v>111</v>
      </c>
      <c r="C241" s="29">
        <v>78</v>
      </c>
      <c r="D241" s="29" t="s">
        <v>112</v>
      </c>
      <c r="E241" s="31" t="s">
        <v>121</v>
      </c>
      <c r="F241" s="29">
        <v>4586</v>
      </c>
      <c r="G241" s="29" t="s">
        <v>59</v>
      </c>
      <c r="H241" s="32">
        <v>46102</v>
      </c>
      <c r="I241" s="33">
        <v>46102</v>
      </c>
      <c r="J241" s="34" t="s">
        <v>71</v>
      </c>
      <c r="K241" s="35">
        <v>0.77986111111111112</v>
      </c>
      <c r="L241" s="35">
        <v>0.80069444444444449</v>
      </c>
      <c r="M241" s="36">
        <v>0.65486111111111112</v>
      </c>
      <c r="N241" s="35">
        <v>0.67569444444444449</v>
      </c>
      <c r="O241" s="37">
        <f>IF(N241&gt;M241,N241-M241,(N241+1)-M241)</f>
        <v>2.083333333333337E-2</v>
      </c>
      <c r="P241" s="29" t="s">
        <v>114</v>
      </c>
      <c r="Q241" s="29" t="s">
        <v>115</v>
      </c>
      <c r="R241" s="29" t="s">
        <v>116</v>
      </c>
      <c r="S241" s="38" t="s">
        <v>46</v>
      </c>
      <c r="T241" s="39" t="s">
        <v>73</v>
      </c>
      <c r="U241" s="39" t="s">
        <v>59</v>
      </c>
      <c r="V241" s="38" t="s">
        <v>104</v>
      </c>
      <c r="W241" s="40" t="s">
        <v>59</v>
      </c>
      <c r="X241" s="13" t="s">
        <v>59</v>
      </c>
      <c r="Y241" s="13" t="s">
        <v>59</v>
      </c>
      <c r="Z241" s="13" t="s">
        <v>59</v>
      </c>
      <c r="AA241" s="13" t="s">
        <v>59</v>
      </c>
      <c r="AB241" s="41" t="s">
        <v>59</v>
      </c>
      <c r="AC241" s="16" t="s">
        <v>59</v>
      </c>
      <c r="AD241" s="42" t="s">
        <v>59</v>
      </c>
      <c r="AE241" s="42">
        <v>26.73</v>
      </c>
      <c r="AF241" s="42">
        <v>0.21</v>
      </c>
      <c r="AG241" s="43" t="s">
        <v>59</v>
      </c>
      <c r="AH241" s="43" t="s">
        <v>59</v>
      </c>
      <c r="AI241" s="43" t="s">
        <v>59</v>
      </c>
      <c r="AJ241" s="17" t="s">
        <v>59</v>
      </c>
      <c r="AK241" s="17" t="s">
        <v>59</v>
      </c>
      <c r="AL241" s="17">
        <v>4.4834191350604078</v>
      </c>
      <c r="AM241" s="17" t="s">
        <v>59</v>
      </c>
      <c r="AN241" s="17" t="s">
        <v>59</v>
      </c>
      <c r="AO241" s="44" t="s">
        <v>61</v>
      </c>
    </row>
    <row r="242" spans="1:41" ht="12" customHeight="1" x14ac:dyDescent="0.35">
      <c r="A242" s="29" t="s">
        <v>65</v>
      </c>
      <c r="B242" s="30" t="s">
        <v>60</v>
      </c>
      <c r="C242" s="29">
        <v>39</v>
      </c>
      <c r="D242" s="29" t="s">
        <v>66</v>
      </c>
      <c r="E242" s="31" t="s">
        <v>370</v>
      </c>
      <c r="F242" s="29">
        <v>33341</v>
      </c>
      <c r="G242" s="29" t="s">
        <v>59</v>
      </c>
      <c r="H242" s="32">
        <v>46101</v>
      </c>
      <c r="I242" s="33">
        <v>46101</v>
      </c>
      <c r="J242" s="34" t="s">
        <v>79</v>
      </c>
      <c r="K242" s="35">
        <v>0.37163194444444442</v>
      </c>
      <c r="L242" s="35">
        <v>0.54543981481481485</v>
      </c>
      <c r="M242" s="36">
        <v>0.45496527777777779</v>
      </c>
      <c r="N242" s="35">
        <v>0.62877314814814811</v>
      </c>
      <c r="O242" s="37">
        <f>IF(N242&gt;M242,N242-M242,(N242+1)-M242)</f>
        <v>0.17380787037037032</v>
      </c>
      <c r="P242" s="29" t="s">
        <v>225</v>
      </c>
      <c r="Q242" s="29" t="s">
        <v>59</v>
      </c>
      <c r="R242" s="29" t="s">
        <v>225</v>
      </c>
      <c r="S242" s="38" t="s">
        <v>46</v>
      </c>
      <c r="T242" s="39" t="s">
        <v>73</v>
      </c>
      <c r="U242" s="39" t="s">
        <v>59</v>
      </c>
      <c r="V242" s="38" t="s">
        <v>100</v>
      </c>
      <c r="W242" s="40" t="s">
        <v>59</v>
      </c>
      <c r="X242" s="13" t="s">
        <v>59</v>
      </c>
      <c r="Y242" s="13" t="s">
        <v>59</v>
      </c>
      <c r="Z242" s="13" t="s">
        <v>59</v>
      </c>
      <c r="AA242" s="13" t="s">
        <v>59</v>
      </c>
      <c r="AB242" s="41" t="s">
        <v>59</v>
      </c>
      <c r="AC242" s="16" t="s">
        <v>59</v>
      </c>
      <c r="AD242" s="42" t="s">
        <v>59</v>
      </c>
      <c r="AE242" s="42">
        <v>6.8</v>
      </c>
      <c r="AF242" s="42">
        <v>0.08</v>
      </c>
      <c r="AG242" s="43" t="s">
        <v>59</v>
      </c>
      <c r="AH242" s="43" t="s">
        <v>59</v>
      </c>
      <c r="AI242" s="43" t="s">
        <v>59</v>
      </c>
      <c r="AJ242" s="17" t="s">
        <v>59</v>
      </c>
      <c r="AK242" s="17" t="s">
        <v>59</v>
      </c>
      <c r="AL242" s="17">
        <v>4.5333333333333332</v>
      </c>
      <c r="AM242" s="17" t="s">
        <v>59</v>
      </c>
      <c r="AN242" s="17" t="s">
        <v>59</v>
      </c>
      <c r="AO242" s="44" t="s">
        <v>61</v>
      </c>
    </row>
    <row r="243" spans="1:41" ht="12" customHeight="1" x14ac:dyDescent="0.35">
      <c r="A243" s="29" t="s">
        <v>68</v>
      </c>
      <c r="B243" s="30" t="s">
        <v>111</v>
      </c>
      <c r="C243" s="29">
        <v>78</v>
      </c>
      <c r="D243" s="29" t="s">
        <v>112</v>
      </c>
      <c r="E243" s="31" t="s">
        <v>113</v>
      </c>
      <c r="F243" s="29">
        <v>2874</v>
      </c>
      <c r="G243" s="29" t="s">
        <v>59</v>
      </c>
      <c r="H243" s="32">
        <v>46101</v>
      </c>
      <c r="I243" s="33">
        <v>46101</v>
      </c>
      <c r="J243" s="34" t="s">
        <v>79</v>
      </c>
      <c r="K243" s="35">
        <v>0.77500000000000002</v>
      </c>
      <c r="L243" s="35">
        <v>0.85138888888888886</v>
      </c>
      <c r="M243" s="36">
        <v>0.65</v>
      </c>
      <c r="N243" s="35">
        <v>0.72638888888888886</v>
      </c>
      <c r="O243" s="37">
        <f>IF(N243&gt;M243,N243-M243,(N243+1)-M243)</f>
        <v>7.638888888888884E-2</v>
      </c>
      <c r="P243" s="29" t="s">
        <v>114</v>
      </c>
      <c r="Q243" s="29" t="s">
        <v>115</v>
      </c>
      <c r="R243" s="29" t="s">
        <v>116</v>
      </c>
      <c r="S243" s="38" t="s">
        <v>46</v>
      </c>
      <c r="T243" s="39" t="s">
        <v>73</v>
      </c>
      <c r="U243" s="39" t="s">
        <v>59</v>
      </c>
      <c r="V243" s="38" t="s">
        <v>100</v>
      </c>
      <c r="W243" s="40" t="s">
        <v>59</v>
      </c>
      <c r="X243" s="13" t="s">
        <v>59</v>
      </c>
      <c r="Y243" s="13" t="s">
        <v>59</v>
      </c>
      <c r="Z243" s="13" t="s">
        <v>59</v>
      </c>
      <c r="AA243" s="13" t="s">
        <v>59</v>
      </c>
      <c r="AB243" s="41" t="s">
        <v>59</v>
      </c>
      <c r="AC243" s="16" t="s">
        <v>59</v>
      </c>
      <c r="AD243" s="42" t="s">
        <v>59</v>
      </c>
      <c r="AE243" s="42">
        <v>12.01</v>
      </c>
      <c r="AF243" s="42">
        <v>0.1</v>
      </c>
      <c r="AG243" s="43" t="s">
        <v>59</v>
      </c>
      <c r="AH243" s="43" t="s">
        <v>59</v>
      </c>
      <c r="AI243" s="43" t="s">
        <v>59</v>
      </c>
      <c r="AJ243" s="17" t="s">
        <v>59</v>
      </c>
      <c r="AK243" s="17" t="s">
        <v>59</v>
      </c>
      <c r="AL243" s="17">
        <v>4.6120192941290226</v>
      </c>
      <c r="AM243" s="17" t="s">
        <v>59</v>
      </c>
      <c r="AN243" s="17" t="s">
        <v>59</v>
      </c>
      <c r="AO243" s="44" t="s">
        <v>61</v>
      </c>
    </row>
    <row r="244" spans="1:41" ht="12" customHeight="1" x14ac:dyDescent="0.35">
      <c r="A244" s="29" t="s">
        <v>96</v>
      </c>
      <c r="B244" s="30" t="s">
        <v>238</v>
      </c>
      <c r="C244" s="29">
        <v>6</v>
      </c>
      <c r="D244" s="29" t="s">
        <v>239</v>
      </c>
      <c r="E244" s="31" t="s">
        <v>240</v>
      </c>
      <c r="F244" s="29">
        <v>3164</v>
      </c>
      <c r="G244" s="29" t="s">
        <v>59</v>
      </c>
      <c r="H244" s="32">
        <v>46103</v>
      </c>
      <c r="I244" s="33">
        <v>46103</v>
      </c>
      <c r="J244" s="34" t="s">
        <v>74</v>
      </c>
      <c r="K244" s="35">
        <v>0.37884259259259262</v>
      </c>
      <c r="L244" s="35">
        <v>0.39406249999999998</v>
      </c>
      <c r="M244" s="36">
        <v>0.42050925925925925</v>
      </c>
      <c r="N244" s="35">
        <v>0.43572916666666667</v>
      </c>
      <c r="O244" s="37">
        <f>IF(N244&gt;M244,N244-M244,(N244+1)-M244)</f>
        <v>1.5219907407407418E-2</v>
      </c>
      <c r="P244" s="29" t="s">
        <v>241</v>
      </c>
      <c r="Q244" s="29" t="s">
        <v>59</v>
      </c>
      <c r="R244" s="29" t="s">
        <v>241</v>
      </c>
      <c r="S244" s="38" t="s">
        <v>46</v>
      </c>
      <c r="T244" s="39" t="s">
        <v>73</v>
      </c>
      <c r="U244" s="39" t="s">
        <v>59</v>
      </c>
      <c r="V244" s="38" t="s">
        <v>107</v>
      </c>
      <c r="W244" s="40" t="s">
        <v>59</v>
      </c>
      <c r="X244" s="13" t="s">
        <v>59</v>
      </c>
      <c r="Y244" s="13" t="s">
        <v>59</v>
      </c>
      <c r="Z244" s="13" t="s">
        <v>59</v>
      </c>
      <c r="AA244" s="13" t="s">
        <v>59</v>
      </c>
      <c r="AB244" s="41" t="s">
        <v>59</v>
      </c>
      <c r="AC244" s="16" t="s">
        <v>59</v>
      </c>
      <c r="AD244" s="42" t="s">
        <v>59</v>
      </c>
      <c r="AE244" s="42">
        <v>5.8</v>
      </c>
      <c r="AF244" s="42">
        <v>1.2</v>
      </c>
      <c r="AG244" s="43" t="s">
        <v>59</v>
      </c>
      <c r="AH244" s="43" t="s">
        <v>59</v>
      </c>
      <c r="AI244" s="43" t="s">
        <v>59</v>
      </c>
      <c r="AJ244" s="17" t="s">
        <v>59</v>
      </c>
      <c r="AK244" s="17" t="s">
        <v>59</v>
      </c>
      <c r="AL244" s="17">
        <v>4.6733500000000001</v>
      </c>
      <c r="AM244" s="17" t="s">
        <v>59</v>
      </c>
      <c r="AN244" s="17" t="s">
        <v>59</v>
      </c>
      <c r="AO244" s="44" t="s">
        <v>61</v>
      </c>
    </row>
    <row r="245" spans="1:41" ht="12" customHeight="1" x14ac:dyDescent="0.35">
      <c r="A245" s="29" t="s">
        <v>96</v>
      </c>
      <c r="B245" s="30" t="s">
        <v>97</v>
      </c>
      <c r="C245" s="29">
        <v>1</v>
      </c>
      <c r="D245" s="29" t="s">
        <v>98</v>
      </c>
      <c r="E245" s="31" t="s">
        <v>366</v>
      </c>
      <c r="F245" s="29">
        <v>2661</v>
      </c>
      <c r="G245" s="29" t="s">
        <v>59</v>
      </c>
      <c r="H245" s="32">
        <v>46103</v>
      </c>
      <c r="I245" s="33">
        <v>46103</v>
      </c>
      <c r="J245" s="34" t="s">
        <v>74</v>
      </c>
      <c r="K245" s="35">
        <v>0.83289351851851856</v>
      </c>
      <c r="L245" s="35">
        <v>0.87564814814814818</v>
      </c>
      <c r="M245" s="36">
        <v>0.87456018518518519</v>
      </c>
      <c r="N245" s="35">
        <v>0.91731481481481481</v>
      </c>
      <c r="O245" s="37">
        <f>IF(N245&gt;M245,N245-M245,(N245+1)-M245)</f>
        <v>4.2754629629629615E-2</v>
      </c>
      <c r="P245" s="29" t="s">
        <v>106</v>
      </c>
      <c r="Q245" s="29" t="s">
        <v>59</v>
      </c>
      <c r="R245" s="29" t="s">
        <v>106</v>
      </c>
      <c r="S245" s="38" t="s">
        <v>48</v>
      </c>
      <c r="T245" s="39" t="s">
        <v>73</v>
      </c>
      <c r="U245" s="39" t="s">
        <v>59</v>
      </c>
      <c r="V245" s="38" t="s">
        <v>107</v>
      </c>
      <c r="W245" s="40" t="s">
        <v>59</v>
      </c>
      <c r="X245" s="13" t="s">
        <v>59</v>
      </c>
      <c r="Y245" s="13" t="s">
        <v>59</v>
      </c>
      <c r="Z245" s="13" t="s">
        <v>59</v>
      </c>
      <c r="AA245" s="13" t="s">
        <v>59</v>
      </c>
      <c r="AB245" s="41" t="s">
        <v>59</v>
      </c>
      <c r="AC245" s="16" t="s">
        <v>59</v>
      </c>
      <c r="AD245" s="42" t="s">
        <v>59</v>
      </c>
      <c r="AE245" s="42">
        <v>7.3</v>
      </c>
      <c r="AF245" s="42">
        <v>0.3</v>
      </c>
      <c r="AG245" s="43" t="s">
        <v>59</v>
      </c>
      <c r="AH245" s="43" t="s">
        <v>59</v>
      </c>
      <c r="AI245" s="43" t="s">
        <v>59</v>
      </c>
      <c r="AJ245" s="17" t="s">
        <v>59</v>
      </c>
      <c r="AK245" s="17" t="s">
        <v>59</v>
      </c>
      <c r="AL245" s="17">
        <v>4.6928571428571422</v>
      </c>
      <c r="AM245" s="17" t="s">
        <v>59</v>
      </c>
      <c r="AN245" s="17" t="s">
        <v>59</v>
      </c>
      <c r="AO245" s="44" t="s">
        <v>61</v>
      </c>
    </row>
    <row r="246" spans="1:41" ht="12" customHeight="1" x14ac:dyDescent="0.35">
      <c r="A246" s="29" t="s">
        <v>96</v>
      </c>
      <c r="B246" s="30" t="s">
        <v>238</v>
      </c>
      <c r="C246" s="29">
        <v>6</v>
      </c>
      <c r="D246" s="29" t="s">
        <v>239</v>
      </c>
      <c r="E246" s="31" t="s">
        <v>240</v>
      </c>
      <c r="F246" s="29">
        <v>3164</v>
      </c>
      <c r="G246" s="29"/>
      <c r="H246" s="32">
        <v>46102</v>
      </c>
      <c r="I246" s="33">
        <v>46102</v>
      </c>
      <c r="J246" s="34" t="s">
        <v>71</v>
      </c>
      <c r="K246" s="35">
        <v>0.3790277777777778</v>
      </c>
      <c r="L246" s="35">
        <v>0.426875</v>
      </c>
      <c r="M246" s="36">
        <v>0.42069444444444443</v>
      </c>
      <c r="N246" s="35">
        <v>0.46854166666666669</v>
      </c>
      <c r="O246" s="37">
        <f>IF(N246&gt;M246,N246-M246,(N246+1)-M246)</f>
        <v>4.7847222222222263E-2</v>
      </c>
      <c r="P246" s="29" t="s">
        <v>241</v>
      </c>
      <c r="Q246" s="29" t="s">
        <v>59</v>
      </c>
      <c r="R246" s="29" t="s">
        <v>241</v>
      </c>
      <c r="S246" s="38" t="s">
        <v>46</v>
      </c>
      <c r="T246" s="39" t="s">
        <v>73</v>
      </c>
      <c r="U246" s="39" t="s">
        <v>59</v>
      </c>
      <c r="V246" s="38" t="s">
        <v>104</v>
      </c>
      <c r="W246" s="40" t="s">
        <v>59</v>
      </c>
      <c r="X246" s="13" t="s">
        <v>59</v>
      </c>
      <c r="Y246" s="13" t="s">
        <v>59</v>
      </c>
      <c r="Z246" s="13" t="s">
        <v>59</v>
      </c>
      <c r="AA246" s="13" t="s">
        <v>59</v>
      </c>
      <c r="AB246" s="41" t="s">
        <v>59</v>
      </c>
      <c r="AC246" s="16" t="s">
        <v>59</v>
      </c>
      <c r="AD246" s="42" t="s">
        <v>59</v>
      </c>
      <c r="AE246" s="42">
        <v>6</v>
      </c>
      <c r="AF246" s="42">
        <v>1.6</v>
      </c>
      <c r="AG246" s="43" t="s">
        <v>59</v>
      </c>
      <c r="AH246" s="43" t="s">
        <v>59</v>
      </c>
      <c r="AI246" s="43" t="s">
        <v>59</v>
      </c>
      <c r="AJ246" s="17" t="s">
        <v>59</v>
      </c>
      <c r="AK246" s="17" t="s">
        <v>59</v>
      </c>
      <c r="AL246" s="17">
        <v>4.8345000000000002</v>
      </c>
      <c r="AM246" s="17" t="s">
        <v>59</v>
      </c>
      <c r="AN246" s="17" t="s">
        <v>59</v>
      </c>
      <c r="AO246" s="44" t="s">
        <v>61</v>
      </c>
    </row>
    <row r="247" spans="1:41" ht="12" customHeight="1" x14ac:dyDescent="0.35">
      <c r="A247" s="29" t="s">
        <v>96</v>
      </c>
      <c r="B247" s="30" t="s">
        <v>63</v>
      </c>
      <c r="C247" s="29">
        <v>20</v>
      </c>
      <c r="D247" s="29" t="s">
        <v>175</v>
      </c>
      <c r="E247" s="31" t="s">
        <v>176</v>
      </c>
      <c r="F247" s="29">
        <v>21659</v>
      </c>
      <c r="G247" s="29" t="s">
        <v>59</v>
      </c>
      <c r="H247" s="32">
        <v>46102</v>
      </c>
      <c r="I247" s="33">
        <v>46102</v>
      </c>
      <c r="J247" s="34" t="s">
        <v>71</v>
      </c>
      <c r="K247" s="35">
        <v>0.37152777777777779</v>
      </c>
      <c r="L247" s="35">
        <v>0.52569444444444446</v>
      </c>
      <c r="M247" s="36">
        <v>0.37152777777777779</v>
      </c>
      <c r="N247" s="35">
        <v>0.52569444444444446</v>
      </c>
      <c r="O247" s="37">
        <f>IF(N247&gt;M247,N247-M247,(N247+1)-M247)</f>
        <v>0.15416666666666667</v>
      </c>
      <c r="P247" s="29" t="s">
        <v>131</v>
      </c>
      <c r="Q247" s="29" t="s">
        <v>59</v>
      </c>
      <c r="R247" s="29" t="s">
        <v>131</v>
      </c>
      <c r="S247" s="38" t="s">
        <v>46</v>
      </c>
      <c r="T247" s="39" t="s">
        <v>73</v>
      </c>
      <c r="U247" s="39" t="s">
        <v>59</v>
      </c>
      <c r="V247" s="38" t="s">
        <v>104</v>
      </c>
      <c r="W247" s="40" t="s">
        <v>59</v>
      </c>
      <c r="X247" s="13" t="s">
        <v>59</v>
      </c>
      <c r="Y247" s="13" t="s">
        <v>59</v>
      </c>
      <c r="Z247" s="13" t="s">
        <v>59</v>
      </c>
      <c r="AA247" s="13" t="s">
        <v>59</v>
      </c>
      <c r="AB247" s="41" t="s">
        <v>59</v>
      </c>
      <c r="AC247" s="16" t="s">
        <v>59</v>
      </c>
      <c r="AD247" s="42" t="s">
        <v>59</v>
      </c>
      <c r="AE247" s="42">
        <v>17.2</v>
      </c>
      <c r="AF247" s="42">
        <v>7.24</v>
      </c>
      <c r="AG247" s="43" t="s">
        <v>59</v>
      </c>
      <c r="AH247" s="43" t="s">
        <v>59</v>
      </c>
      <c r="AI247" s="43" t="s">
        <v>59</v>
      </c>
      <c r="AJ247" s="17" t="s">
        <v>59</v>
      </c>
      <c r="AK247" s="17" t="s">
        <v>59</v>
      </c>
      <c r="AL247" s="17">
        <v>4.9879999999999995</v>
      </c>
      <c r="AM247" s="17" t="s">
        <v>59</v>
      </c>
      <c r="AN247" s="17" t="s">
        <v>59</v>
      </c>
      <c r="AO247" s="44" t="s">
        <v>61</v>
      </c>
    </row>
    <row r="248" spans="1:41" ht="12" customHeight="1" x14ac:dyDescent="0.35">
      <c r="A248" s="29" t="s">
        <v>96</v>
      </c>
      <c r="B248" s="30" t="s">
        <v>127</v>
      </c>
      <c r="C248" s="29">
        <v>5</v>
      </c>
      <c r="D248" s="29" t="s">
        <v>128</v>
      </c>
      <c r="E248" s="31" t="s">
        <v>129</v>
      </c>
      <c r="F248" s="29">
        <v>21831</v>
      </c>
      <c r="G248" s="29" t="s">
        <v>59</v>
      </c>
      <c r="H248" s="32">
        <v>46103</v>
      </c>
      <c r="I248" s="33">
        <v>46103</v>
      </c>
      <c r="J248" s="34" t="s">
        <v>74</v>
      </c>
      <c r="K248" s="35">
        <v>0.69414351851851852</v>
      </c>
      <c r="L248" s="35">
        <v>0.85586805555555556</v>
      </c>
      <c r="M248" s="36">
        <v>0.77747685185185189</v>
      </c>
      <c r="N248" s="35">
        <v>0.93920138888888893</v>
      </c>
      <c r="O248" s="37">
        <f>IF(N248&gt;M248,N248-M248,(N248+1)-M248)</f>
        <v>0.16172453703703704</v>
      </c>
      <c r="P248" s="29" t="s">
        <v>130</v>
      </c>
      <c r="Q248" s="29" t="s">
        <v>59</v>
      </c>
      <c r="R248" s="29" t="s">
        <v>130</v>
      </c>
      <c r="S248" s="38" t="s">
        <v>46</v>
      </c>
      <c r="T248" s="39" t="s">
        <v>73</v>
      </c>
      <c r="U248" s="39" t="s">
        <v>59</v>
      </c>
      <c r="V248" s="38" t="s">
        <v>107</v>
      </c>
      <c r="W248" s="40" t="s">
        <v>59</v>
      </c>
      <c r="X248" s="13" t="s">
        <v>59</v>
      </c>
      <c r="Y248" s="13" t="s">
        <v>59</v>
      </c>
      <c r="Z248" s="13" t="s">
        <v>59</v>
      </c>
      <c r="AA248" s="13" t="s">
        <v>59</v>
      </c>
      <c r="AB248" s="41" t="s">
        <v>59</v>
      </c>
      <c r="AC248" s="16" t="s">
        <v>59</v>
      </c>
      <c r="AD248" s="42" t="s">
        <v>59</v>
      </c>
      <c r="AE248" s="42">
        <v>30.8</v>
      </c>
      <c r="AF248" s="42">
        <v>1.3</v>
      </c>
      <c r="AG248" s="43" t="s">
        <v>59</v>
      </c>
      <c r="AH248" s="43" t="s">
        <v>59</v>
      </c>
      <c r="AI248" s="43" t="s">
        <v>59</v>
      </c>
      <c r="AJ248" s="17" t="s">
        <v>59</v>
      </c>
      <c r="AK248" s="17" t="s">
        <v>59</v>
      </c>
      <c r="AL248" s="17">
        <v>5.1333333333333337</v>
      </c>
      <c r="AM248" s="17" t="s">
        <v>59</v>
      </c>
      <c r="AN248" s="17" t="s">
        <v>59</v>
      </c>
      <c r="AO248" s="44" t="s">
        <v>61</v>
      </c>
    </row>
    <row r="249" spans="1:41" ht="12" customHeight="1" x14ac:dyDescent="0.35">
      <c r="A249" s="29" t="s">
        <v>68</v>
      </c>
      <c r="B249" s="30" t="s">
        <v>111</v>
      </c>
      <c r="C249" s="29">
        <v>78</v>
      </c>
      <c r="D249" s="29" t="s">
        <v>112</v>
      </c>
      <c r="E249" s="31" t="s">
        <v>121</v>
      </c>
      <c r="F249" s="29">
        <v>4586</v>
      </c>
      <c r="G249" s="29" t="s">
        <v>59</v>
      </c>
      <c r="H249" s="32">
        <v>46102</v>
      </c>
      <c r="I249" s="33">
        <v>46102</v>
      </c>
      <c r="J249" s="34" t="s">
        <v>71</v>
      </c>
      <c r="K249" s="35">
        <v>0.7631944444444444</v>
      </c>
      <c r="L249" s="35">
        <v>0.77152777777777781</v>
      </c>
      <c r="M249" s="36">
        <v>0.6381944444444444</v>
      </c>
      <c r="N249" s="35">
        <v>0.64652777777777781</v>
      </c>
      <c r="O249" s="37">
        <f>IF(N249&gt;M249,N249-M249,(N249+1)-M249)</f>
        <v>8.3333333333334147E-3</v>
      </c>
      <c r="P249" s="29" t="s">
        <v>114</v>
      </c>
      <c r="Q249" s="29" t="s">
        <v>115</v>
      </c>
      <c r="R249" s="29" t="s">
        <v>116</v>
      </c>
      <c r="S249" s="38" t="s">
        <v>46</v>
      </c>
      <c r="T249" s="39" t="s">
        <v>73</v>
      </c>
      <c r="U249" s="39" t="s">
        <v>59</v>
      </c>
      <c r="V249" s="38" t="s">
        <v>104</v>
      </c>
      <c r="W249" s="40" t="s">
        <v>59</v>
      </c>
      <c r="X249" s="13" t="s">
        <v>59</v>
      </c>
      <c r="Y249" s="13" t="s">
        <v>59</v>
      </c>
      <c r="Z249" s="13" t="s">
        <v>59</v>
      </c>
      <c r="AA249" s="13" t="s">
        <v>59</v>
      </c>
      <c r="AB249" s="41" t="s">
        <v>59</v>
      </c>
      <c r="AC249" s="16" t="s">
        <v>59</v>
      </c>
      <c r="AD249" s="42" t="s">
        <v>59</v>
      </c>
      <c r="AE249" s="42">
        <v>31.2</v>
      </c>
      <c r="AF249" s="42">
        <v>0.25</v>
      </c>
      <c r="AG249" s="43" t="s">
        <v>59</v>
      </c>
      <c r="AH249" s="43" t="s">
        <v>59</v>
      </c>
      <c r="AI249" s="43" t="s">
        <v>59</v>
      </c>
      <c r="AJ249" s="17" t="s">
        <v>59</v>
      </c>
      <c r="AK249" s="17" t="s">
        <v>59</v>
      </c>
      <c r="AL249" s="17">
        <v>5.2331716054577146</v>
      </c>
      <c r="AM249" s="17" t="s">
        <v>59</v>
      </c>
      <c r="AN249" s="17" t="s">
        <v>59</v>
      </c>
      <c r="AO249" s="44" t="s">
        <v>61</v>
      </c>
    </row>
    <row r="250" spans="1:41" ht="12" customHeight="1" x14ac:dyDescent="0.35">
      <c r="A250" s="29" t="s">
        <v>68</v>
      </c>
      <c r="B250" s="30" t="s">
        <v>111</v>
      </c>
      <c r="C250" s="29">
        <v>78</v>
      </c>
      <c r="D250" s="29" t="s">
        <v>112</v>
      </c>
      <c r="E250" s="31" t="s">
        <v>113</v>
      </c>
      <c r="F250" s="29">
        <v>2874</v>
      </c>
      <c r="G250" s="29" t="s">
        <v>59</v>
      </c>
      <c r="H250" s="32">
        <v>46103</v>
      </c>
      <c r="I250" s="33">
        <v>46103</v>
      </c>
      <c r="J250" s="34" t="s">
        <v>74</v>
      </c>
      <c r="K250" s="35">
        <v>0.47847222222222224</v>
      </c>
      <c r="L250" s="35">
        <v>0.49236111111111114</v>
      </c>
      <c r="M250" s="36">
        <v>0.35347222222222224</v>
      </c>
      <c r="N250" s="35">
        <v>0.36736111111111114</v>
      </c>
      <c r="O250" s="37">
        <f>IF(N250&gt;M250,N250-M250,(N250+1)-M250)</f>
        <v>1.3888888888888895E-2</v>
      </c>
      <c r="P250" s="29" t="s">
        <v>114</v>
      </c>
      <c r="Q250" s="29" t="s">
        <v>115</v>
      </c>
      <c r="R250" s="29" t="s">
        <v>116</v>
      </c>
      <c r="S250" s="38" t="s">
        <v>46</v>
      </c>
      <c r="T250" s="39" t="s">
        <v>73</v>
      </c>
      <c r="U250" s="39" t="s">
        <v>59</v>
      </c>
      <c r="V250" s="38" t="s">
        <v>107</v>
      </c>
      <c r="W250" s="40" t="s">
        <v>59</v>
      </c>
      <c r="X250" s="13" t="s">
        <v>59</v>
      </c>
      <c r="Y250" s="13" t="s">
        <v>59</v>
      </c>
      <c r="Z250" s="13" t="s">
        <v>59</v>
      </c>
      <c r="AA250" s="13" t="s">
        <v>59</v>
      </c>
      <c r="AB250" s="41" t="s">
        <v>59</v>
      </c>
      <c r="AC250" s="16" t="s">
        <v>59</v>
      </c>
      <c r="AD250" s="42" t="s">
        <v>59</v>
      </c>
      <c r="AE250" s="42">
        <v>13.75</v>
      </c>
      <c r="AF250" s="42">
        <v>0.22</v>
      </c>
      <c r="AG250" s="43" t="s">
        <v>59</v>
      </c>
      <c r="AH250" s="43" t="s">
        <v>59</v>
      </c>
      <c r="AI250" s="43" t="s">
        <v>59</v>
      </c>
      <c r="AJ250" s="17" t="s">
        <v>59</v>
      </c>
      <c r="AK250" s="17" t="s">
        <v>59</v>
      </c>
      <c r="AL250" s="17">
        <v>5.2802052701310629</v>
      </c>
      <c r="AM250" s="17" t="s">
        <v>59</v>
      </c>
      <c r="AN250" s="17" t="s">
        <v>59</v>
      </c>
      <c r="AO250" s="44" t="s">
        <v>61</v>
      </c>
    </row>
    <row r="251" spans="1:41" ht="12" customHeight="1" x14ac:dyDescent="0.35">
      <c r="A251" s="29" t="s">
        <v>96</v>
      </c>
      <c r="B251" s="30" t="s">
        <v>260</v>
      </c>
      <c r="C251" s="29">
        <v>33</v>
      </c>
      <c r="D251" s="29" t="s">
        <v>261</v>
      </c>
      <c r="E251" s="31" t="s">
        <v>262</v>
      </c>
      <c r="F251" s="29">
        <v>31586</v>
      </c>
      <c r="G251" s="29" t="s">
        <v>59</v>
      </c>
      <c r="H251" s="32">
        <v>46101</v>
      </c>
      <c r="I251" s="33">
        <v>46101</v>
      </c>
      <c r="J251" s="34" t="s">
        <v>79</v>
      </c>
      <c r="K251" s="35">
        <v>0.37540509259259258</v>
      </c>
      <c r="L251" s="35">
        <v>0.54395833333333332</v>
      </c>
      <c r="M251" s="36">
        <v>0.50040509259259258</v>
      </c>
      <c r="N251" s="35">
        <v>0.66895833333333332</v>
      </c>
      <c r="O251" s="37">
        <f>IF(N251&gt;M251,N251-M251,(N251+1)-M251)</f>
        <v>0.16855324074074074</v>
      </c>
      <c r="P251" s="29" t="s">
        <v>263</v>
      </c>
      <c r="Q251" s="29" t="s">
        <v>59</v>
      </c>
      <c r="R251" s="29" t="s">
        <v>263</v>
      </c>
      <c r="S251" s="38" t="s">
        <v>46</v>
      </c>
      <c r="T251" s="39" t="s">
        <v>73</v>
      </c>
      <c r="U251" s="39" t="s">
        <v>59</v>
      </c>
      <c r="V251" s="38" t="s">
        <v>100</v>
      </c>
      <c r="W251" s="40" t="s">
        <v>59</v>
      </c>
      <c r="X251" s="13" t="s">
        <v>59</v>
      </c>
      <c r="Y251" s="13" t="s">
        <v>59</v>
      </c>
      <c r="Z251" s="13" t="s">
        <v>59</v>
      </c>
      <c r="AA251" s="13" t="s">
        <v>59</v>
      </c>
      <c r="AB251" s="41" t="s">
        <v>59</v>
      </c>
      <c r="AC251" s="16" t="s">
        <v>59</v>
      </c>
      <c r="AD251" s="42" t="s">
        <v>59</v>
      </c>
      <c r="AE251" s="42">
        <v>49.9</v>
      </c>
      <c r="AF251" s="42">
        <v>0.4</v>
      </c>
      <c r="AG251" s="43" t="s">
        <v>59</v>
      </c>
      <c r="AH251" s="43" t="s">
        <v>59</v>
      </c>
      <c r="AI251" s="43" t="s">
        <v>59</v>
      </c>
      <c r="AJ251" s="17" t="s">
        <v>59</v>
      </c>
      <c r="AK251" s="17" t="s">
        <v>59</v>
      </c>
      <c r="AL251" s="17">
        <v>5.5444444444444452</v>
      </c>
      <c r="AM251" s="17" t="s">
        <v>59</v>
      </c>
      <c r="AN251" s="17" t="s">
        <v>59</v>
      </c>
      <c r="AO251" s="44" t="s">
        <v>61</v>
      </c>
    </row>
    <row r="252" spans="1:41" ht="12" customHeight="1" x14ac:dyDescent="0.35">
      <c r="A252" s="29" t="s">
        <v>68</v>
      </c>
      <c r="B252" s="30" t="s">
        <v>111</v>
      </c>
      <c r="C252" s="29">
        <v>78</v>
      </c>
      <c r="D252" s="29" t="s">
        <v>112</v>
      </c>
      <c r="E252" s="31" t="s">
        <v>121</v>
      </c>
      <c r="F252" s="29">
        <v>4586</v>
      </c>
      <c r="G252" s="29" t="s">
        <v>59</v>
      </c>
      <c r="H252" s="32">
        <v>46102</v>
      </c>
      <c r="I252" s="33">
        <v>46102</v>
      </c>
      <c r="J252" s="34" t="s">
        <v>71</v>
      </c>
      <c r="K252" s="35">
        <v>0.83819444444444446</v>
      </c>
      <c r="L252" s="35">
        <v>0.85</v>
      </c>
      <c r="M252" s="36">
        <v>0.71319444444444446</v>
      </c>
      <c r="N252" s="35">
        <v>0.72499999999999998</v>
      </c>
      <c r="O252" s="37">
        <f>IF(N252&gt;M252,N252-M252,(N252+1)-M252)</f>
        <v>1.1805555555555514E-2</v>
      </c>
      <c r="P252" s="29" t="s">
        <v>114</v>
      </c>
      <c r="Q252" s="29" t="s">
        <v>117</v>
      </c>
      <c r="R252" s="29" t="s">
        <v>118</v>
      </c>
      <c r="S252" s="38" t="s">
        <v>46</v>
      </c>
      <c r="T252" s="39" t="s">
        <v>73</v>
      </c>
      <c r="U252" s="39" t="s">
        <v>59</v>
      </c>
      <c r="V252" s="38" t="s">
        <v>104</v>
      </c>
      <c r="W252" s="40" t="s">
        <v>59</v>
      </c>
      <c r="X252" s="13" t="s">
        <v>59</v>
      </c>
      <c r="Y252" s="13" t="s">
        <v>59</v>
      </c>
      <c r="Z252" s="13" t="s">
        <v>59</v>
      </c>
      <c r="AA252" s="13" t="s">
        <v>59</v>
      </c>
      <c r="AB252" s="41" t="s">
        <v>59</v>
      </c>
      <c r="AC252" s="16" t="s">
        <v>59</v>
      </c>
      <c r="AD252" s="42" t="s">
        <v>59</v>
      </c>
      <c r="AE252" s="42">
        <v>33.6</v>
      </c>
      <c r="AF252" s="42">
        <v>0.25</v>
      </c>
      <c r="AG252" s="43" t="s">
        <v>59</v>
      </c>
      <c r="AH252" s="43" t="s">
        <v>59</v>
      </c>
      <c r="AI252" s="43" t="s">
        <v>59</v>
      </c>
      <c r="AJ252" s="17" t="s">
        <v>59</v>
      </c>
      <c r="AK252" s="17" t="s">
        <v>59</v>
      </c>
      <c r="AL252" s="17">
        <v>5.6357232674160009</v>
      </c>
      <c r="AM252" s="17" t="s">
        <v>59</v>
      </c>
      <c r="AN252" s="17" t="s">
        <v>59</v>
      </c>
      <c r="AO252" s="44" t="s">
        <v>61</v>
      </c>
    </row>
    <row r="253" spans="1:41" ht="12" customHeight="1" x14ac:dyDescent="0.35">
      <c r="A253" s="29" t="s">
        <v>96</v>
      </c>
      <c r="B253" s="30" t="s">
        <v>200</v>
      </c>
      <c r="C253" s="29">
        <v>26</v>
      </c>
      <c r="D253" s="29" t="s">
        <v>201</v>
      </c>
      <c r="E253" s="31" t="s">
        <v>205</v>
      </c>
      <c r="F253" s="29">
        <v>2724</v>
      </c>
      <c r="G253" s="29" t="s">
        <v>59</v>
      </c>
      <c r="H253" s="32">
        <v>46101</v>
      </c>
      <c r="I253" s="33">
        <v>46101</v>
      </c>
      <c r="J253" s="34" t="s">
        <v>79</v>
      </c>
      <c r="K253" s="35">
        <v>0.37729166666666669</v>
      </c>
      <c r="L253" s="35">
        <v>0.5461111111111111</v>
      </c>
      <c r="M253" s="36">
        <v>0.41895833333333332</v>
      </c>
      <c r="N253" s="35">
        <v>0.58777777777777773</v>
      </c>
      <c r="O253" s="37">
        <f>IF(N253&gt;M253,N253-M253,(N253+1)-M253)</f>
        <v>0.16881944444444441</v>
      </c>
      <c r="P253" s="29" t="s">
        <v>203</v>
      </c>
      <c r="Q253" s="29" t="s">
        <v>136</v>
      </c>
      <c r="R253" s="29" t="s">
        <v>204</v>
      </c>
      <c r="S253" s="38" t="s">
        <v>46</v>
      </c>
      <c r="T253" s="39" t="s">
        <v>73</v>
      </c>
      <c r="U253" s="39" t="s">
        <v>59</v>
      </c>
      <c r="V253" s="38" t="s">
        <v>100</v>
      </c>
      <c r="W253" s="40" t="s">
        <v>59</v>
      </c>
      <c r="X253" s="13" t="s">
        <v>59</v>
      </c>
      <c r="Y253" s="13" t="s">
        <v>59</v>
      </c>
      <c r="Z253" s="13" t="s">
        <v>59</v>
      </c>
      <c r="AA253" s="13" t="s">
        <v>59</v>
      </c>
      <c r="AB253" s="41" t="s">
        <v>59</v>
      </c>
      <c r="AC253" s="16" t="s">
        <v>59</v>
      </c>
      <c r="AD253" s="42" t="s">
        <v>59</v>
      </c>
      <c r="AE253" s="42">
        <v>151.19999999999999</v>
      </c>
      <c r="AF253" s="42">
        <v>3.32</v>
      </c>
      <c r="AG253" s="43" t="s">
        <v>59</v>
      </c>
      <c r="AH253" s="43" t="s">
        <v>59</v>
      </c>
      <c r="AI253" s="43" t="s">
        <v>59</v>
      </c>
      <c r="AJ253" s="17" t="s">
        <v>59</v>
      </c>
      <c r="AK253" s="17" t="s">
        <v>59</v>
      </c>
      <c r="AL253" s="17">
        <v>5.6525336167745666</v>
      </c>
      <c r="AM253" s="17" t="s">
        <v>59</v>
      </c>
      <c r="AN253" s="17" t="s">
        <v>59</v>
      </c>
      <c r="AO253" s="44" t="s">
        <v>61</v>
      </c>
    </row>
    <row r="254" spans="1:41" ht="12" customHeight="1" x14ac:dyDescent="0.35">
      <c r="A254" s="29" t="s">
        <v>76</v>
      </c>
      <c r="B254" s="30" t="s">
        <v>62</v>
      </c>
      <c r="C254" s="29">
        <v>48</v>
      </c>
      <c r="D254" s="29" t="s">
        <v>77</v>
      </c>
      <c r="E254" s="31" t="s">
        <v>78</v>
      </c>
      <c r="F254" s="29">
        <v>5163</v>
      </c>
      <c r="G254" s="29"/>
      <c r="H254" s="32">
        <v>46103</v>
      </c>
      <c r="I254" s="33">
        <v>46104</v>
      </c>
      <c r="J254" s="34" t="s">
        <v>74</v>
      </c>
      <c r="K254" s="35">
        <v>0.5625</v>
      </c>
      <c r="L254" s="35">
        <v>0.62498842592592596</v>
      </c>
      <c r="M254" s="36">
        <v>2.0833333333333332E-2</v>
      </c>
      <c r="N254" s="35">
        <v>8.3321759259259262E-2</v>
      </c>
      <c r="O254" s="37">
        <f>IF(N254&gt;M254,N254-M254,(N254+1)-M254)</f>
        <v>6.2488425925925933E-2</v>
      </c>
      <c r="P254" s="29" t="s">
        <v>83</v>
      </c>
      <c r="Q254" s="29" t="s">
        <v>94</v>
      </c>
      <c r="R254" s="29" t="s">
        <v>95</v>
      </c>
      <c r="S254" s="38" t="s">
        <v>48</v>
      </c>
      <c r="T254" s="39" t="s">
        <v>73</v>
      </c>
      <c r="U254" s="39" t="s">
        <v>59</v>
      </c>
      <c r="V254" s="38" t="s">
        <v>107</v>
      </c>
      <c r="W254" s="40" t="s">
        <v>59</v>
      </c>
      <c r="X254" s="13" t="s">
        <v>59</v>
      </c>
      <c r="Y254" s="13" t="s">
        <v>59</v>
      </c>
      <c r="Z254" s="13" t="s">
        <v>59</v>
      </c>
      <c r="AA254" s="13" t="s">
        <v>59</v>
      </c>
      <c r="AB254" s="41" t="s">
        <v>59</v>
      </c>
      <c r="AC254" s="16" t="s">
        <v>59</v>
      </c>
      <c r="AD254" s="42" t="s">
        <v>59</v>
      </c>
      <c r="AE254" s="42">
        <v>0</v>
      </c>
      <c r="AF254" s="42">
        <v>0</v>
      </c>
      <c r="AG254" s="43" t="s">
        <v>59</v>
      </c>
      <c r="AH254" s="43" t="s">
        <v>59</v>
      </c>
      <c r="AI254" s="43" t="s">
        <v>59</v>
      </c>
      <c r="AJ254" s="17" t="s">
        <v>59</v>
      </c>
      <c r="AK254" s="17" t="s">
        <v>59</v>
      </c>
      <c r="AL254" s="17">
        <v>5.8665058651399491</v>
      </c>
      <c r="AM254" s="17" t="s">
        <v>59</v>
      </c>
      <c r="AN254" s="17" t="s">
        <v>59</v>
      </c>
      <c r="AO254" s="44" t="s">
        <v>61</v>
      </c>
    </row>
    <row r="255" spans="1:41" ht="12" customHeight="1" x14ac:dyDescent="0.35">
      <c r="A255" s="29" t="s">
        <v>96</v>
      </c>
      <c r="B255" s="30" t="s">
        <v>238</v>
      </c>
      <c r="C255" s="29">
        <v>6</v>
      </c>
      <c r="D255" s="29" t="s">
        <v>239</v>
      </c>
      <c r="E255" s="31" t="s">
        <v>240</v>
      </c>
      <c r="F255" s="29">
        <v>3164</v>
      </c>
      <c r="G255" s="29"/>
      <c r="H255" s="32">
        <v>46102</v>
      </c>
      <c r="I255" s="33">
        <v>46102</v>
      </c>
      <c r="J255" s="34" t="s">
        <v>71</v>
      </c>
      <c r="K255" s="35">
        <v>0.72908564814814814</v>
      </c>
      <c r="L255" s="35">
        <v>0.84964120370370366</v>
      </c>
      <c r="M255" s="36">
        <v>0.77075231481481477</v>
      </c>
      <c r="N255" s="35">
        <v>0.8913078703703704</v>
      </c>
      <c r="O255" s="37">
        <f>IF(N255&gt;M255,N255-M255,(N255+1)-M255)</f>
        <v>0.12055555555555564</v>
      </c>
      <c r="P255" s="29" t="s">
        <v>241</v>
      </c>
      <c r="Q255" s="29" t="s">
        <v>59</v>
      </c>
      <c r="R255" s="29" t="s">
        <v>241</v>
      </c>
      <c r="S255" s="38" t="s">
        <v>46</v>
      </c>
      <c r="T255" s="39" t="s">
        <v>73</v>
      </c>
      <c r="U255" s="39" t="s">
        <v>59</v>
      </c>
      <c r="V255" s="38" t="s">
        <v>104</v>
      </c>
      <c r="W255" s="40" t="s">
        <v>59</v>
      </c>
      <c r="X255" s="13" t="s">
        <v>59</v>
      </c>
      <c r="Y255" s="13" t="s">
        <v>59</v>
      </c>
      <c r="Z255" s="13" t="s">
        <v>59</v>
      </c>
      <c r="AA255" s="13" t="s">
        <v>59</v>
      </c>
      <c r="AB255" s="41" t="s">
        <v>59</v>
      </c>
      <c r="AC255" s="16" t="s">
        <v>59</v>
      </c>
      <c r="AD255" s="42" t="s">
        <v>59</v>
      </c>
      <c r="AE255" s="42">
        <v>7.3</v>
      </c>
      <c r="AF255" s="42">
        <v>0.5</v>
      </c>
      <c r="AG255" s="43" t="s">
        <v>59</v>
      </c>
      <c r="AH255" s="43" t="s">
        <v>59</v>
      </c>
      <c r="AI255" s="43" t="s">
        <v>59</v>
      </c>
      <c r="AJ255" s="17" t="s">
        <v>59</v>
      </c>
      <c r="AK255" s="17" t="s">
        <v>59</v>
      </c>
      <c r="AL255" s="17">
        <v>5.8819749999999997</v>
      </c>
      <c r="AM255" s="17" t="s">
        <v>59</v>
      </c>
      <c r="AN255" s="17" t="s">
        <v>59</v>
      </c>
      <c r="AO255" s="44" t="s">
        <v>61</v>
      </c>
    </row>
    <row r="256" spans="1:41" ht="12" customHeight="1" x14ac:dyDescent="0.35">
      <c r="A256" s="29" t="s">
        <v>96</v>
      </c>
      <c r="B256" s="30" t="s">
        <v>200</v>
      </c>
      <c r="C256" s="29">
        <v>26</v>
      </c>
      <c r="D256" s="29" t="s">
        <v>201</v>
      </c>
      <c r="E256" s="31" t="s">
        <v>205</v>
      </c>
      <c r="F256" s="29">
        <v>2724</v>
      </c>
      <c r="G256" s="29" t="s">
        <v>59</v>
      </c>
      <c r="H256" s="32">
        <v>46103</v>
      </c>
      <c r="I256" s="33">
        <v>46103</v>
      </c>
      <c r="J256" s="34" t="s">
        <v>74</v>
      </c>
      <c r="K256" s="35">
        <v>0.36473379629629632</v>
      </c>
      <c r="L256" s="35">
        <v>0.37504629629629632</v>
      </c>
      <c r="M256" s="36">
        <v>0.40640046296296295</v>
      </c>
      <c r="N256" s="35">
        <v>0.41671296296296295</v>
      </c>
      <c r="O256" s="37">
        <f>IF(N256&gt;M256,N256-M256,(N256+1)-M256)</f>
        <v>1.0312500000000002E-2</v>
      </c>
      <c r="P256" s="29" t="s">
        <v>207</v>
      </c>
      <c r="Q256" s="29" t="s">
        <v>59</v>
      </c>
      <c r="R256" s="29" t="s">
        <v>207</v>
      </c>
      <c r="S256" s="38" t="s">
        <v>49</v>
      </c>
      <c r="T256" s="39" t="s">
        <v>73</v>
      </c>
      <c r="U256" s="39" t="s">
        <v>59</v>
      </c>
      <c r="V256" s="38" t="s">
        <v>104</v>
      </c>
      <c r="W256" s="40" t="s">
        <v>59</v>
      </c>
      <c r="X256" s="13" t="s">
        <v>59</v>
      </c>
      <c r="Y256" s="13" t="s">
        <v>59</v>
      </c>
      <c r="Z256" s="13" t="s">
        <v>59</v>
      </c>
      <c r="AA256" s="13" t="s">
        <v>59</v>
      </c>
      <c r="AB256" s="41" t="s">
        <v>59</v>
      </c>
      <c r="AC256" s="16" t="s">
        <v>59</v>
      </c>
      <c r="AD256" s="42" t="s">
        <v>59</v>
      </c>
      <c r="AE256" s="42">
        <v>163.4</v>
      </c>
      <c r="AF256" s="42">
        <v>2.21</v>
      </c>
      <c r="AG256" s="43" t="s">
        <v>59</v>
      </c>
      <c r="AH256" s="43" t="s">
        <v>59</v>
      </c>
      <c r="AI256" s="43" t="s">
        <v>59</v>
      </c>
      <c r="AJ256" s="17" t="s">
        <v>59</v>
      </c>
      <c r="AK256" s="17" t="s">
        <v>59</v>
      </c>
      <c r="AL256" s="17">
        <v>6.108624292202145</v>
      </c>
      <c r="AM256" s="17" t="s">
        <v>59</v>
      </c>
      <c r="AN256" s="17" t="s">
        <v>59</v>
      </c>
      <c r="AO256" s="44" t="s">
        <v>61</v>
      </c>
    </row>
    <row r="257" spans="1:41" ht="12" customHeight="1" x14ac:dyDescent="0.35">
      <c r="A257" s="29" t="s">
        <v>96</v>
      </c>
      <c r="B257" s="30" t="s">
        <v>260</v>
      </c>
      <c r="C257" s="29">
        <v>33</v>
      </c>
      <c r="D257" s="29" t="s">
        <v>261</v>
      </c>
      <c r="E257" s="31" t="s">
        <v>262</v>
      </c>
      <c r="F257" s="29">
        <v>31586</v>
      </c>
      <c r="G257" s="29" t="s">
        <v>59</v>
      </c>
      <c r="H257" s="32">
        <v>46101</v>
      </c>
      <c r="I257" s="33">
        <v>46101</v>
      </c>
      <c r="J257" s="34" t="s">
        <v>79</v>
      </c>
      <c r="K257" s="35">
        <v>0.71204861111111106</v>
      </c>
      <c r="L257" s="35">
        <v>0.85462962962962963</v>
      </c>
      <c r="M257" s="36">
        <v>0.83704861111111106</v>
      </c>
      <c r="N257" s="35">
        <v>0.97962962962962963</v>
      </c>
      <c r="O257" s="37">
        <f>IF(N257&gt;M257,N257-M257,(N257+1)-M257)</f>
        <v>0.14258101851851857</v>
      </c>
      <c r="P257" s="29" t="s">
        <v>263</v>
      </c>
      <c r="Q257" s="29" t="s">
        <v>59</v>
      </c>
      <c r="R257" s="29" t="s">
        <v>263</v>
      </c>
      <c r="S257" s="38" t="s">
        <v>46</v>
      </c>
      <c r="T257" s="39" t="s">
        <v>73</v>
      </c>
      <c r="U257" s="39" t="s">
        <v>59</v>
      </c>
      <c r="V257" s="38" t="s">
        <v>100</v>
      </c>
      <c r="W257" s="40" t="s">
        <v>59</v>
      </c>
      <c r="X257" s="13" t="s">
        <v>59</v>
      </c>
      <c r="Y257" s="13" t="s">
        <v>59</v>
      </c>
      <c r="Z257" s="13" t="s">
        <v>59</v>
      </c>
      <c r="AA257" s="13" t="s">
        <v>59</v>
      </c>
      <c r="AB257" s="41" t="s">
        <v>59</v>
      </c>
      <c r="AC257" s="16" t="s">
        <v>59</v>
      </c>
      <c r="AD257" s="42" t="s">
        <v>59</v>
      </c>
      <c r="AE257" s="42">
        <v>55</v>
      </c>
      <c r="AF257" s="42">
        <v>0.2</v>
      </c>
      <c r="AG257" s="43" t="s">
        <v>59</v>
      </c>
      <c r="AH257" s="43" t="s">
        <v>59</v>
      </c>
      <c r="AI257" s="43" t="s">
        <v>59</v>
      </c>
      <c r="AJ257" s="17" t="s">
        <v>59</v>
      </c>
      <c r="AK257" s="17" t="s">
        <v>59</v>
      </c>
      <c r="AL257" s="17">
        <v>6.1111111111111116</v>
      </c>
      <c r="AM257" s="17" t="s">
        <v>59</v>
      </c>
      <c r="AN257" s="17" t="s">
        <v>59</v>
      </c>
      <c r="AO257" s="44" t="s">
        <v>61</v>
      </c>
    </row>
    <row r="258" spans="1:41" ht="12" customHeight="1" x14ac:dyDescent="0.35">
      <c r="A258" s="29" t="s">
        <v>68</v>
      </c>
      <c r="B258" s="30" t="s">
        <v>111</v>
      </c>
      <c r="C258" s="29">
        <v>78</v>
      </c>
      <c r="D258" s="29" t="s">
        <v>112</v>
      </c>
      <c r="E258" s="31" t="s">
        <v>113</v>
      </c>
      <c r="F258" s="29">
        <v>2874</v>
      </c>
      <c r="G258" s="29" t="s">
        <v>59</v>
      </c>
      <c r="H258" s="32">
        <v>46103</v>
      </c>
      <c r="I258" s="33">
        <v>46103</v>
      </c>
      <c r="J258" s="34" t="s">
        <v>74</v>
      </c>
      <c r="K258" s="35">
        <v>0.49652777777777779</v>
      </c>
      <c r="L258" s="35">
        <v>0.5444444444444444</v>
      </c>
      <c r="M258" s="36">
        <v>0.37152777777777779</v>
      </c>
      <c r="N258" s="35">
        <v>0.41944444444444445</v>
      </c>
      <c r="O258" s="37">
        <f>IF(N258&gt;M258,N258-M258,(N258+1)-M258)</f>
        <v>4.7916666666666663E-2</v>
      </c>
      <c r="P258" s="29" t="s">
        <v>114</v>
      </c>
      <c r="Q258" s="29" t="s">
        <v>117</v>
      </c>
      <c r="R258" s="29" t="s">
        <v>118</v>
      </c>
      <c r="S258" s="38" t="s">
        <v>46</v>
      </c>
      <c r="T258" s="39" t="s">
        <v>73</v>
      </c>
      <c r="U258" s="39" t="s">
        <v>59</v>
      </c>
      <c r="V258" s="38" t="s">
        <v>107</v>
      </c>
      <c r="W258" s="40" t="s">
        <v>59</v>
      </c>
      <c r="X258" s="13" t="s">
        <v>59</v>
      </c>
      <c r="Y258" s="13" t="s">
        <v>59</v>
      </c>
      <c r="Z258" s="13" t="s">
        <v>59</v>
      </c>
      <c r="AA258" s="13" t="s">
        <v>59</v>
      </c>
      <c r="AB258" s="41" t="s">
        <v>59</v>
      </c>
      <c r="AC258" s="16" t="s">
        <v>59</v>
      </c>
      <c r="AD258" s="42" t="s">
        <v>59</v>
      </c>
      <c r="AE258" s="42">
        <v>16.25</v>
      </c>
      <c r="AF258" s="42">
        <v>0.21</v>
      </c>
      <c r="AG258" s="43" t="s">
        <v>59</v>
      </c>
      <c r="AH258" s="43" t="s">
        <v>59</v>
      </c>
      <c r="AI258" s="43" t="s">
        <v>59</v>
      </c>
      <c r="AJ258" s="17" t="s">
        <v>59</v>
      </c>
      <c r="AK258" s="17" t="s">
        <v>59</v>
      </c>
      <c r="AL258" s="17">
        <v>6.2402425919730735</v>
      </c>
      <c r="AM258" s="17" t="s">
        <v>59</v>
      </c>
      <c r="AN258" s="17" t="s">
        <v>59</v>
      </c>
      <c r="AO258" s="44" t="s">
        <v>61</v>
      </c>
    </row>
    <row r="259" spans="1:41" ht="12" customHeight="1" x14ac:dyDescent="0.35">
      <c r="A259" s="29" t="s">
        <v>96</v>
      </c>
      <c r="B259" s="30" t="s">
        <v>194</v>
      </c>
      <c r="C259" s="29">
        <v>23</v>
      </c>
      <c r="D259" s="29" t="s">
        <v>195</v>
      </c>
      <c r="E259" s="31" t="s">
        <v>199</v>
      </c>
      <c r="F259" s="29">
        <v>4845</v>
      </c>
      <c r="G259" s="29" t="s">
        <v>59</v>
      </c>
      <c r="H259" s="32">
        <v>46102</v>
      </c>
      <c r="I259" s="33">
        <v>46102</v>
      </c>
      <c r="J259" s="34" t="s">
        <v>71</v>
      </c>
      <c r="K259" s="35">
        <v>0.41708333333333331</v>
      </c>
      <c r="L259" s="35">
        <v>0.54232638888888884</v>
      </c>
      <c r="M259" s="36">
        <v>0.45874999999999999</v>
      </c>
      <c r="N259" s="35">
        <v>0.58399305555555558</v>
      </c>
      <c r="O259" s="37">
        <f>IF(N259&gt;M259,N259-M259,(N259+1)-M259)</f>
        <v>0.12524305555555559</v>
      </c>
      <c r="P259" s="29" t="s">
        <v>197</v>
      </c>
      <c r="Q259" s="29" t="s">
        <v>197</v>
      </c>
      <c r="R259" s="29" t="s">
        <v>198</v>
      </c>
      <c r="S259" s="38" t="s">
        <v>46</v>
      </c>
      <c r="T259" s="39" t="s">
        <v>73</v>
      </c>
      <c r="U259" s="39" t="s">
        <v>59</v>
      </c>
      <c r="V259" s="38" t="s">
        <v>104</v>
      </c>
      <c r="W259" s="40" t="s">
        <v>59</v>
      </c>
      <c r="X259" s="13" t="s">
        <v>59</v>
      </c>
      <c r="Y259" s="13" t="s">
        <v>59</v>
      </c>
      <c r="Z259" s="13" t="s">
        <v>59</v>
      </c>
      <c r="AA259" s="13" t="s">
        <v>59</v>
      </c>
      <c r="AB259" s="41" t="s">
        <v>59</v>
      </c>
      <c r="AC259" s="16" t="s">
        <v>59</v>
      </c>
      <c r="AD259" s="42" t="s">
        <v>59</v>
      </c>
      <c r="AE259" s="42">
        <v>12.5</v>
      </c>
      <c r="AF259" s="42">
        <v>6.39</v>
      </c>
      <c r="AG259" s="43" t="s">
        <v>59</v>
      </c>
      <c r="AH259" s="43" t="s">
        <v>59</v>
      </c>
      <c r="AI259" s="43" t="s">
        <v>59</v>
      </c>
      <c r="AJ259" s="17" t="s">
        <v>59</v>
      </c>
      <c r="AK259" s="17" t="s">
        <v>59</v>
      </c>
      <c r="AL259" s="17">
        <v>6.3291666666666666</v>
      </c>
      <c r="AM259" s="17" t="s">
        <v>59</v>
      </c>
      <c r="AN259" s="17" t="s">
        <v>59</v>
      </c>
      <c r="AO259" s="44" t="s">
        <v>61</v>
      </c>
    </row>
    <row r="260" spans="1:41" ht="12" customHeight="1" x14ac:dyDescent="0.35">
      <c r="A260" s="29" t="s">
        <v>96</v>
      </c>
      <c r="B260" s="30" t="s">
        <v>238</v>
      </c>
      <c r="C260" s="29">
        <v>6</v>
      </c>
      <c r="D260" s="29" t="s">
        <v>239</v>
      </c>
      <c r="E260" s="31" t="s">
        <v>240</v>
      </c>
      <c r="F260" s="29">
        <v>3164</v>
      </c>
      <c r="G260" s="29" t="s">
        <v>59</v>
      </c>
      <c r="H260" s="32">
        <v>46102</v>
      </c>
      <c r="I260" s="33">
        <v>46102</v>
      </c>
      <c r="J260" s="34" t="s">
        <v>71</v>
      </c>
      <c r="K260" s="35">
        <v>0.84964120370370366</v>
      </c>
      <c r="L260" s="35">
        <v>0.85244212962962962</v>
      </c>
      <c r="M260" s="36">
        <v>0.8913078703703704</v>
      </c>
      <c r="N260" s="35">
        <v>0.89410879629629625</v>
      </c>
      <c r="O260" s="37">
        <f>IF(N260&gt;M260,N260-M260,(N260+1)-M260)</f>
        <v>2.8009259259258457E-3</v>
      </c>
      <c r="P260" s="29" t="s">
        <v>241</v>
      </c>
      <c r="Q260" s="29" t="s">
        <v>244</v>
      </c>
      <c r="R260" s="29" t="s">
        <v>245</v>
      </c>
      <c r="S260" s="38" t="s">
        <v>46</v>
      </c>
      <c r="T260" s="39" t="s">
        <v>73</v>
      </c>
      <c r="U260" s="39" t="s">
        <v>59</v>
      </c>
      <c r="V260" s="38" t="s">
        <v>104</v>
      </c>
      <c r="W260" s="40" t="s">
        <v>59</v>
      </c>
      <c r="X260" s="13" t="s">
        <v>59</v>
      </c>
      <c r="Y260" s="13" t="s">
        <v>59</v>
      </c>
      <c r="Z260" s="13" t="s">
        <v>59</v>
      </c>
      <c r="AA260" s="13" t="s">
        <v>59</v>
      </c>
      <c r="AB260" s="41" t="s">
        <v>59</v>
      </c>
      <c r="AC260" s="16" t="s">
        <v>59</v>
      </c>
      <c r="AD260" s="42" t="s">
        <v>59</v>
      </c>
      <c r="AE260" s="42">
        <v>8.1</v>
      </c>
      <c r="AF260" s="42">
        <v>0.4</v>
      </c>
      <c r="AG260" s="43" t="s">
        <v>59</v>
      </c>
      <c r="AH260" s="43" t="s">
        <v>59</v>
      </c>
      <c r="AI260" s="43" t="s">
        <v>59</v>
      </c>
      <c r="AJ260" s="17" t="s">
        <v>59</v>
      </c>
      <c r="AK260" s="17" t="s">
        <v>59</v>
      </c>
      <c r="AL260" s="17">
        <v>6.5265749999999993</v>
      </c>
      <c r="AM260" s="17" t="s">
        <v>59</v>
      </c>
      <c r="AN260" s="17" t="s">
        <v>59</v>
      </c>
      <c r="AO260" s="44" t="s">
        <v>61</v>
      </c>
    </row>
    <row r="261" spans="1:41" ht="12" customHeight="1" x14ac:dyDescent="0.35">
      <c r="A261" s="29" t="s">
        <v>76</v>
      </c>
      <c r="B261" s="30" t="s">
        <v>62</v>
      </c>
      <c r="C261" s="29">
        <v>48</v>
      </c>
      <c r="D261" s="29" t="s">
        <v>77</v>
      </c>
      <c r="E261" s="31" t="s">
        <v>78</v>
      </c>
      <c r="F261" s="29">
        <v>5163</v>
      </c>
      <c r="G261" s="29" t="s">
        <v>59</v>
      </c>
      <c r="H261" s="32">
        <v>46101</v>
      </c>
      <c r="I261" s="33">
        <v>46102</v>
      </c>
      <c r="J261" s="34" t="s">
        <v>79</v>
      </c>
      <c r="K261" s="35">
        <v>0.58407407407407408</v>
      </c>
      <c r="L261" s="35">
        <v>0.62498842592592596</v>
      </c>
      <c r="M261" s="36">
        <v>4.2407407407407408E-2</v>
      </c>
      <c r="N261" s="35">
        <v>8.3321759259259262E-2</v>
      </c>
      <c r="O261" s="37">
        <f>IF(N261&gt;M261,N261-M261,(N261+1)-M261)</f>
        <v>4.0914351851851855E-2</v>
      </c>
      <c r="P261" s="29" t="s">
        <v>83</v>
      </c>
      <c r="Q261" s="29" t="s">
        <v>84</v>
      </c>
      <c r="R261" s="29" t="s">
        <v>85</v>
      </c>
      <c r="S261" s="38" t="s">
        <v>49</v>
      </c>
      <c r="T261" s="39" t="s">
        <v>73</v>
      </c>
      <c r="U261" s="39" t="s">
        <v>59</v>
      </c>
      <c r="V261" s="38" t="s">
        <v>100</v>
      </c>
      <c r="W261" s="40" t="s">
        <v>59</v>
      </c>
      <c r="X261" s="13" t="s">
        <v>59</v>
      </c>
      <c r="Y261" s="13" t="s">
        <v>59</v>
      </c>
      <c r="Z261" s="13" t="s">
        <v>59</v>
      </c>
      <c r="AA261" s="13" t="s">
        <v>59</v>
      </c>
      <c r="AB261" s="41" t="s">
        <v>59</v>
      </c>
      <c r="AC261" s="16" t="s">
        <v>59</v>
      </c>
      <c r="AD261" s="42" t="s">
        <v>59</v>
      </c>
      <c r="AE261" s="42">
        <v>0</v>
      </c>
      <c r="AF261" s="42">
        <v>0</v>
      </c>
      <c r="AG261" s="43" t="s">
        <v>59</v>
      </c>
      <c r="AH261" s="43" t="s">
        <v>59</v>
      </c>
      <c r="AI261" s="43" t="s">
        <v>59</v>
      </c>
      <c r="AJ261" s="17" t="s">
        <v>59</v>
      </c>
      <c r="AK261" s="17" t="s">
        <v>59</v>
      </c>
      <c r="AL261" s="17">
        <v>7.0398070381679396</v>
      </c>
      <c r="AM261" s="17" t="s">
        <v>59</v>
      </c>
      <c r="AN261" s="17" t="s">
        <v>59</v>
      </c>
      <c r="AO261" s="44" t="s">
        <v>61</v>
      </c>
    </row>
    <row r="262" spans="1:41" ht="12" customHeight="1" x14ac:dyDescent="0.35">
      <c r="A262" s="29" t="s">
        <v>76</v>
      </c>
      <c r="B262" s="30" t="s">
        <v>62</v>
      </c>
      <c r="C262" s="29">
        <v>48</v>
      </c>
      <c r="D262" s="29" t="s">
        <v>77</v>
      </c>
      <c r="E262" s="31" t="s">
        <v>78</v>
      </c>
      <c r="F262" s="29">
        <v>5163</v>
      </c>
      <c r="G262" s="29"/>
      <c r="H262" s="32">
        <v>46102</v>
      </c>
      <c r="I262" s="33">
        <v>46103</v>
      </c>
      <c r="J262" s="34" t="s">
        <v>71</v>
      </c>
      <c r="K262" s="35">
        <v>0.59375</v>
      </c>
      <c r="L262" s="35">
        <v>0.62498842592592596</v>
      </c>
      <c r="M262" s="36">
        <v>5.2083333333333336E-2</v>
      </c>
      <c r="N262" s="35">
        <v>8.3321759259259262E-2</v>
      </c>
      <c r="O262" s="37">
        <f>IF(N262&gt;M262,N262-M262,(N262+1)-M262)</f>
        <v>3.1238425925925926E-2</v>
      </c>
      <c r="P262" s="29" t="s">
        <v>83</v>
      </c>
      <c r="Q262" s="29" t="s">
        <v>89</v>
      </c>
      <c r="R262" s="29" t="s">
        <v>90</v>
      </c>
      <c r="S262" s="38" t="s">
        <v>49</v>
      </c>
      <c r="T262" s="39" t="s">
        <v>73</v>
      </c>
      <c r="U262" s="39" t="s">
        <v>59</v>
      </c>
      <c r="V262" s="38" t="s">
        <v>104</v>
      </c>
      <c r="W262" s="40" t="s">
        <v>59</v>
      </c>
      <c r="X262" s="13" t="s">
        <v>59</v>
      </c>
      <c r="Y262" s="13" t="s">
        <v>59</v>
      </c>
      <c r="Z262" s="13" t="s">
        <v>59</v>
      </c>
      <c r="AA262" s="13" t="s">
        <v>59</v>
      </c>
      <c r="AB262" s="41" t="s">
        <v>59</v>
      </c>
      <c r="AC262" s="16" t="s">
        <v>59</v>
      </c>
      <c r="AD262" s="42" t="s">
        <v>59</v>
      </c>
      <c r="AE262" s="42">
        <v>1</v>
      </c>
      <c r="AF262" s="42">
        <v>0</v>
      </c>
      <c r="AG262" s="43" t="s">
        <v>59</v>
      </c>
      <c r="AH262" s="43" t="s">
        <v>59</v>
      </c>
      <c r="AI262" s="43" t="s">
        <v>59</v>
      </c>
      <c r="AJ262" s="17" t="s">
        <v>59</v>
      </c>
      <c r="AK262" s="17" t="s">
        <v>59</v>
      </c>
      <c r="AL262" s="17">
        <v>7.0398070381679396</v>
      </c>
      <c r="AM262" s="17" t="s">
        <v>59</v>
      </c>
      <c r="AN262" s="17" t="s">
        <v>59</v>
      </c>
      <c r="AO262" s="44" t="s">
        <v>61</v>
      </c>
    </row>
    <row r="263" spans="1:41" ht="12" customHeight="1" x14ac:dyDescent="0.35">
      <c r="A263" s="29" t="s">
        <v>96</v>
      </c>
      <c r="B263" s="30" t="s">
        <v>266</v>
      </c>
      <c r="C263" s="29">
        <v>35</v>
      </c>
      <c r="D263" s="29" t="s">
        <v>267</v>
      </c>
      <c r="E263" s="31" t="s">
        <v>270</v>
      </c>
      <c r="F263" s="29">
        <v>3986</v>
      </c>
      <c r="G263" s="29" t="s">
        <v>59</v>
      </c>
      <c r="H263" s="32">
        <v>46102</v>
      </c>
      <c r="I263" s="33">
        <v>46102</v>
      </c>
      <c r="J263" s="34" t="s">
        <v>71</v>
      </c>
      <c r="K263" s="35">
        <v>0.375</v>
      </c>
      <c r="L263" s="35">
        <v>0.52083333333333337</v>
      </c>
      <c r="M263" s="36">
        <v>0.375</v>
      </c>
      <c r="N263" s="35">
        <v>0.52083333333333337</v>
      </c>
      <c r="O263" s="37">
        <f>IF(N263&gt;M263,N263-M263,(N263+1)-M263)</f>
        <v>0.14583333333333337</v>
      </c>
      <c r="P263" s="29" t="s">
        <v>268</v>
      </c>
      <c r="Q263" s="29" t="s">
        <v>59</v>
      </c>
      <c r="R263" s="29" t="s">
        <v>268</v>
      </c>
      <c r="S263" s="38" t="s">
        <v>46</v>
      </c>
      <c r="T263" s="39" t="s">
        <v>73</v>
      </c>
      <c r="U263" s="39" t="s">
        <v>59</v>
      </c>
      <c r="V263" s="38" t="s">
        <v>104</v>
      </c>
      <c r="W263" s="40" t="s">
        <v>59</v>
      </c>
      <c r="X263" s="13" t="s">
        <v>59</v>
      </c>
      <c r="Y263" s="13" t="s">
        <v>59</v>
      </c>
      <c r="Z263" s="13" t="s">
        <v>59</v>
      </c>
      <c r="AA263" s="13" t="s">
        <v>59</v>
      </c>
      <c r="AB263" s="41" t="s">
        <v>59</v>
      </c>
      <c r="AC263" s="16" t="s">
        <v>59</v>
      </c>
      <c r="AD263" s="42" t="s">
        <v>59</v>
      </c>
      <c r="AE263" s="42">
        <v>19.7</v>
      </c>
      <c r="AF263" s="42">
        <v>0</v>
      </c>
      <c r="AG263" s="43" t="s">
        <v>59</v>
      </c>
      <c r="AH263" s="43" t="s">
        <v>59</v>
      </c>
      <c r="AI263" s="43" t="s">
        <v>59</v>
      </c>
      <c r="AJ263" s="17" t="s">
        <v>59</v>
      </c>
      <c r="AK263" s="17" t="s">
        <v>59</v>
      </c>
      <c r="AL263" s="17">
        <v>7.0722999999999994</v>
      </c>
      <c r="AM263" s="17" t="s">
        <v>59</v>
      </c>
      <c r="AN263" s="17" t="s">
        <v>59</v>
      </c>
      <c r="AO263" s="44" t="s">
        <v>61</v>
      </c>
    </row>
    <row r="264" spans="1:41" ht="12" customHeight="1" x14ac:dyDescent="0.35">
      <c r="A264" s="29" t="s">
        <v>96</v>
      </c>
      <c r="B264" s="30" t="s">
        <v>200</v>
      </c>
      <c r="C264" s="29">
        <v>26</v>
      </c>
      <c r="D264" s="29" t="s">
        <v>201</v>
      </c>
      <c r="E264" s="31" t="s">
        <v>205</v>
      </c>
      <c r="F264" s="29">
        <v>2724</v>
      </c>
      <c r="G264" s="29" t="s">
        <v>59</v>
      </c>
      <c r="H264" s="32">
        <v>46102</v>
      </c>
      <c r="I264" s="33">
        <v>46102</v>
      </c>
      <c r="J264" s="34" t="s">
        <v>71</v>
      </c>
      <c r="K264" s="35">
        <v>0.86087962962962961</v>
      </c>
      <c r="L264" s="35">
        <v>0.87767361111111108</v>
      </c>
      <c r="M264" s="36">
        <v>0.90254629629629635</v>
      </c>
      <c r="N264" s="35">
        <v>0.91934027777777783</v>
      </c>
      <c r="O264" s="37">
        <f>IF(N264&gt;M264,N264-M264,(N264+1)-M264)</f>
        <v>1.6793981481481479E-2</v>
      </c>
      <c r="P264" s="29" t="s">
        <v>207</v>
      </c>
      <c r="Q264" s="29" t="s">
        <v>59</v>
      </c>
      <c r="R264" s="29" t="s">
        <v>207</v>
      </c>
      <c r="S264" s="38" t="s">
        <v>49</v>
      </c>
      <c r="T264" s="39" t="s">
        <v>73</v>
      </c>
      <c r="U264" s="39" t="s">
        <v>59</v>
      </c>
      <c r="V264" s="38" t="s">
        <v>104</v>
      </c>
      <c r="W264" s="40" t="s">
        <v>59</v>
      </c>
      <c r="X264" s="13" t="s">
        <v>59</v>
      </c>
      <c r="Y264" s="13" t="s">
        <v>59</v>
      </c>
      <c r="Z264" s="13" t="s">
        <v>59</v>
      </c>
      <c r="AA264" s="13" t="s">
        <v>59</v>
      </c>
      <c r="AB264" s="41" t="s">
        <v>59</v>
      </c>
      <c r="AC264" s="16" t="s">
        <v>59</v>
      </c>
      <c r="AD264" s="42" t="s">
        <v>59</v>
      </c>
      <c r="AE264" s="42">
        <v>195.9</v>
      </c>
      <c r="AF264" s="42">
        <v>1.78</v>
      </c>
      <c r="AG264" s="43" t="s">
        <v>59</v>
      </c>
      <c r="AH264" s="43" t="s">
        <v>59</v>
      </c>
      <c r="AI264" s="43" t="s">
        <v>59</v>
      </c>
      <c r="AJ264" s="17" t="s">
        <v>59</v>
      </c>
      <c r="AK264" s="17" t="s">
        <v>59</v>
      </c>
      <c r="AL264" s="17">
        <v>7.3236199439559373</v>
      </c>
      <c r="AM264" s="17" t="s">
        <v>59</v>
      </c>
      <c r="AN264" s="17" t="s">
        <v>59</v>
      </c>
      <c r="AO264" s="44" t="s">
        <v>61</v>
      </c>
    </row>
    <row r="265" spans="1:41" ht="12" customHeight="1" x14ac:dyDescent="0.35">
      <c r="A265" s="29" t="s">
        <v>96</v>
      </c>
      <c r="B265" s="30" t="s">
        <v>200</v>
      </c>
      <c r="C265" s="29">
        <v>26</v>
      </c>
      <c r="D265" s="29" t="s">
        <v>201</v>
      </c>
      <c r="E265" s="31" t="s">
        <v>205</v>
      </c>
      <c r="F265" s="29">
        <v>2724</v>
      </c>
      <c r="G265" s="29" t="s">
        <v>59</v>
      </c>
      <c r="H265" s="32">
        <v>46103</v>
      </c>
      <c r="I265" s="33">
        <v>46103</v>
      </c>
      <c r="J265" s="34" t="s">
        <v>74</v>
      </c>
      <c r="K265" s="35">
        <v>0.79178240740740746</v>
      </c>
      <c r="L265" s="35">
        <v>0.83841435185185187</v>
      </c>
      <c r="M265" s="36">
        <v>0.83344907407407409</v>
      </c>
      <c r="N265" s="35">
        <v>0.8800810185185185</v>
      </c>
      <c r="O265" s="37">
        <f>IF(N265&gt;M265,N265-M265,(N265+1)-M265)</f>
        <v>4.6631944444444406E-2</v>
      </c>
      <c r="P265" s="29" t="s">
        <v>203</v>
      </c>
      <c r="Q265" s="29" t="s">
        <v>136</v>
      </c>
      <c r="R265" s="29" t="s">
        <v>204</v>
      </c>
      <c r="S265" s="38" t="s">
        <v>46</v>
      </c>
      <c r="T265" s="39" t="s">
        <v>73</v>
      </c>
      <c r="U265" s="39" t="s">
        <v>59</v>
      </c>
      <c r="V265" s="38" t="s">
        <v>107</v>
      </c>
      <c r="W265" s="40" t="s">
        <v>59</v>
      </c>
      <c r="X265" s="13" t="s">
        <v>59</v>
      </c>
      <c r="Y265" s="13" t="s">
        <v>59</v>
      </c>
      <c r="Z265" s="13" t="s">
        <v>59</v>
      </c>
      <c r="AA265" s="13" t="s">
        <v>59</v>
      </c>
      <c r="AB265" s="41" t="s">
        <v>59</v>
      </c>
      <c r="AC265" s="16" t="s">
        <v>59</v>
      </c>
      <c r="AD265" s="42" t="s">
        <v>59</v>
      </c>
      <c r="AE265" s="42">
        <v>196.2</v>
      </c>
      <c r="AF265" s="42">
        <v>1.44</v>
      </c>
      <c r="AG265" s="43" t="s">
        <v>59</v>
      </c>
      <c r="AH265" s="43" t="s">
        <v>59</v>
      </c>
      <c r="AI265" s="43" t="s">
        <v>59</v>
      </c>
      <c r="AJ265" s="17" t="s">
        <v>59</v>
      </c>
      <c r="AK265" s="17" t="s">
        <v>59</v>
      </c>
      <c r="AL265" s="17">
        <v>7.3348352884336645</v>
      </c>
      <c r="AM265" s="17" t="s">
        <v>59</v>
      </c>
      <c r="AN265" s="17" t="s">
        <v>59</v>
      </c>
      <c r="AO265" s="44" t="s">
        <v>61</v>
      </c>
    </row>
    <row r="266" spans="1:41" ht="12" customHeight="1" x14ac:dyDescent="0.35">
      <c r="A266" s="29" t="s">
        <v>96</v>
      </c>
      <c r="B266" s="30" t="s">
        <v>138</v>
      </c>
      <c r="C266" s="29">
        <v>11</v>
      </c>
      <c r="D266" s="29" t="s">
        <v>139</v>
      </c>
      <c r="E266" s="31" t="s">
        <v>140</v>
      </c>
      <c r="F266" s="29">
        <v>1088</v>
      </c>
      <c r="G266" s="29" t="s">
        <v>59</v>
      </c>
      <c r="H266" s="32">
        <v>46102</v>
      </c>
      <c r="I266" s="33">
        <v>46102</v>
      </c>
      <c r="J266" s="34" t="s">
        <v>71</v>
      </c>
      <c r="K266" s="35">
        <v>0.78210648148148143</v>
      </c>
      <c r="L266" s="35">
        <v>0.78244212962962967</v>
      </c>
      <c r="M266" s="36">
        <v>0.8654398148148148</v>
      </c>
      <c r="N266" s="35">
        <v>0.86577546296296293</v>
      </c>
      <c r="O266" s="37">
        <f>IF(N266&gt;M266,N266-M266,(N266+1)-M266)</f>
        <v>3.356481481481266E-4</v>
      </c>
      <c r="P266" s="29" t="s">
        <v>141</v>
      </c>
      <c r="Q266" s="29" t="s">
        <v>142</v>
      </c>
      <c r="R266" s="29" t="s">
        <v>143</v>
      </c>
      <c r="S266" s="38" t="s">
        <v>46</v>
      </c>
      <c r="T266" s="39" t="s">
        <v>73</v>
      </c>
      <c r="U266" s="39" t="s">
        <v>59</v>
      </c>
      <c r="V266" s="38" t="s">
        <v>104</v>
      </c>
      <c r="W266" s="40" t="s">
        <v>59</v>
      </c>
      <c r="X266" s="13" t="s">
        <v>59</v>
      </c>
      <c r="Y266" s="13" t="s">
        <v>59</v>
      </c>
      <c r="Z266" s="13" t="s">
        <v>59</v>
      </c>
      <c r="AA266" s="13" t="s">
        <v>59</v>
      </c>
      <c r="AB266" s="41" t="s">
        <v>59</v>
      </c>
      <c r="AC266" s="16" t="s">
        <v>59</v>
      </c>
      <c r="AD266" s="42" t="s">
        <v>59</v>
      </c>
      <c r="AE266" s="42">
        <v>56.4</v>
      </c>
      <c r="AF266" s="42">
        <v>16.27</v>
      </c>
      <c r="AG266" s="43" t="s">
        <v>59</v>
      </c>
      <c r="AH266" s="43" t="s">
        <v>59</v>
      </c>
      <c r="AI266" s="43" t="s">
        <v>59</v>
      </c>
      <c r="AJ266" s="17" t="s">
        <v>59</v>
      </c>
      <c r="AK266" s="17" t="s">
        <v>59</v>
      </c>
      <c r="AL266" s="17">
        <v>7.52</v>
      </c>
      <c r="AM266" s="17" t="s">
        <v>59</v>
      </c>
      <c r="AN266" s="17" t="s">
        <v>59</v>
      </c>
      <c r="AO266" s="44" t="s">
        <v>61</v>
      </c>
    </row>
    <row r="267" spans="1:41" ht="12" customHeight="1" x14ac:dyDescent="0.35">
      <c r="A267" s="29" t="s">
        <v>96</v>
      </c>
      <c r="B267" s="30" t="s">
        <v>238</v>
      </c>
      <c r="C267" s="29">
        <v>6</v>
      </c>
      <c r="D267" s="29" t="s">
        <v>239</v>
      </c>
      <c r="E267" s="31" t="s">
        <v>240</v>
      </c>
      <c r="F267" s="29">
        <v>3164</v>
      </c>
      <c r="G267" s="29" t="s">
        <v>59</v>
      </c>
      <c r="H267" s="32">
        <v>46103</v>
      </c>
      <c r="I267" s="33">
        <v>46103</v>
      </c>
      <c r="J267" s="34" t="s">
        <v>74</v>
      </c>
      <c r="K267" s="35">
        <v>0.82913194444444449</v>
      </c>
      <c r="L267" s="35">
        <v>0.83210648148148147</v>
      </c>
      <c r="M267" s="36">
        <v>0.87079861111111112</v>
      </c>
      <c r="N267" s="35">
        <v>0.8737731481481481</v>
      </c>
      <c r="O267" s="37">
        <f>IF(N267&gt;M267,N267-M267,(N267+1)-M267)</f>
        <v>2.9745370370369839E-3</v>
      </c>
      <c r="P267" s="29" t="s">
        <v>241</v>
      </c>
      <c r="Q267" s="29" t="s">
        <v>244</v>
      </c>
      <c r="R267" s="29" t="s">
        <v>245</v>
      </c>
      <c r="S267" s="38" t="s">
        <v>49</v>
      </c>
      <c r="T267" s="39" t="s">
        <v>73</v>
      </c>
      <c r="U267" s="39" t="s">
        <v>59</v>
      </c>
      <c r="V267" s="38" t="s">
        <v>107</v>
      </c>
      <c r="W267" s="40" t="s">
        <v>59</v>
      </c>
      <c r="X267" s="13" t="s">
        <v>59</v>
      </c>
      <c r="Y267" s="13" t="s">
        <v>59</v>
      </c>
      <c r="Z267" s="13" t="s">
        <v>59</v>
      </c>
      <c r="AA267" s="13" t="s">
        <v>59</v>
      </c>
      <c r="AB267" s="41" t="s">
        <v>59</v>
      </c>
      <c r="AC267" s="16" t="s">
        <v>59</v>
      </c>
      <c r="AD267" s="42" t="s">
        <v>59</v>
      </c>
      <c r="AE267" s="42">
        <v>10.1</v>
      </c>
      <c r="AF267" s="42">
        <v>0.5</v>
      </c>
      <c r="AG267" s="43" t="s">
        <v>59</v>
      </c>
      <c r="AH267" s="43" t="s">
        <v>59</v>
      </c>
      <c r="AI267" s="43" t="s">
        <v>59</v>
      </c>
      <c r="AJ267" s="17" t="s">
        <v>59</v>
      </c>
      <c r="AK267" s="17" t="s">
        <v>59</v>
      </c>
      <c r="AL267" s="17">
        <v>8.1380749999999988</v>
      </c>
      <c r="AM267" s="17" t="s">
        <v>59</v>
      </c>
      <c r="AN267" s="17" t="s">
        <v>59</v>
      </c>
      <c r="AO267" s="44" t="s">
        <v>61</v>
      </c>
    </row>
    <row r="268" spans="1:41" ht="12" customHeight="1" x14ac:dyDescent="0.35">
      <c r="A268" s="29" t="s">
        <v>96</v>
      </c>
      <c r="B268" s="30" t="s">
        <v>212</v>
      </c>
      <c r="C268" s="29">
        <v>128</v>
      </c>
      <c r="D268" s="29" t="s">
        <v>213</v>
      </c>
      <c r="E268" s="31" t="s">
        <v>214</v>
      </c>
      <c r="F268" s="29">
        <v>1160</v>
      </c>
      <c r="G268" s="29" t="s">
        <v>59</v>
      </c>
      <c r="H268" s="32">
        <v>46101</v>
      </c>
      <c r="I268" s="33">
        <v>46101</v>
      </c>
      <c r="J268" s="34" t="s">
        <v>79</v>
      </c>
      <c r="K268" s="35">
        <v>0.46163194444444444</v>
      </c>
      <c r="L268" s="35">
        <v>0.51590277777777782</v>
      </c>
      <c r="M268" s="36">
        <v>0.50329861111111107</v>
      </c>
      <c r="N268" s="35">
        <v>0.55756944444444445</v>
      </c>
      <c r="O268" s="37">
        <f>IF(N268&gt;M268,N268-M268,(N268+1)-M268)</f>
        <v>5.4270833333333379E-2</v>
      </c>
      <c r="P268" s="29" t="s">
        <v>215</v>
      </c>
      <c r="Q268" s="29" t="s">
        <v>216</v>
      </c>
      <c r="R268" s="29" t="s">
        <v>217</v>
      </c>
      <c r="S268" s="38" t="s">
        <v>46</v>
      </c>
      <c r="T268" s="39" t="s">
        <v>73</v>
      </c>
      <c r="U268" s="39" t="s">
        <v>59</v>
      </c>
      <c r="V268" s="38" t="s">
        <v>100</v>
      </c>
      <c r="W268" s="40" t="s">
        <v>59</v>
      </c>
      <c r="X268" s="13" t="s">
        <v>59</v>
      </c>
      <c r="Y268" s="13" t="s">
        <v>59</v>
      </c>
      <c r="Z268" s="13" t="s">
        <v>59</v>
      </c>
      <c r="AA268" s="13" t="s">
        <v>59</v>
      </c>
      <c r="AB268" s="41" t="s">
        <v>59</v>
      </c>
      <c r="AC268" s="16" t="s">
        <v>59</v>
      </c>
      <c r="AD268" s="42" t="s">
        <v>59</v>
      </c>
      <c r="AE268" s="42">
        <v>45.1</v>
      </c>
      <c r="AF268" s="42">
        <v>3.19</v>
      </c>
      <c r="AG268" s="43" t="s">
        <v>59</v>
      </c>
      <c r="AH268" s="43" t="s">
        <v>59</v>
      </c>
      <c r="AI268" s="43" t="s">
        <v>59</v>
      </c>
      <c r="AJ268" s="17" t="s">
        <v>59</v>
      </c>
      <c r="AK268" s="17" t="s">
        <v>59</v>
      </c>
      <c r="AL268" s="17">
        <v>8.3432963966182374</v>
      </c>
      <c r="AM268" s="17" t="s">
        <v>59</v>
      </c>
      <c r="AN268" s="17" t="s">
        <v>59</v>
      </c>
      <c r="AO268" s="44" t="s">
        <v>61</v>
      </c>
    </row>
    <row r="269" spans="1:41" ht="12" customHeight="1" x14ac:dyDescent="0.35">
      <c r="A269" s="29" t="s">
        <v>96</v>
      </c>
      <c r="B269" s="30" t="s">
        <v>64</v>
      </c>
      <c r="C269" s="29">
        <v>19</v>
      </c>
      <c r="D269" s="29" t="s">
        <v>177</v>
      </c>
      <c r="E269" s="31" t="s">
        <v>178</v>
      </c>
      <c r="F269" s="29">
        <v>2925</v>
      </c>
      <c r="G269" s="29" t="s">
        <v>59</v>
      </c>
      <c r="H269" s="32">
        <v>46103</v>
      </c>
      <c r="I269" s="33">
        <v>46103</v>
      </c>
      <c r="J269" s="34" t="s">
        <v>74</v>
      </c>
      <c r="K269" s="35">
        <v>4.1666666666666664E-2</v>
      </c>
      <c r="L269" s="35">
        <v>0.18733796296296296</v>
      </c>
      <c r="M269" s="36">
        <v>8.3333333333333329E-2</v>
      </c>
      <c r="N269" s="35">
        <v>0.22900462962962964</v>
      </c>
      <c r="O269" s="37">
        <f>IF(N269&gt;M269,N269-M269,(N269+1)-M269)</f>
        <v>0.14567129629629633</v>
      </c>
      <c r="P269" s="29" t="s">
        <v>179</v>
      </c>
      <c r="Q269" s="29" t="s">
        <v>184</v>
      </c>
      <c r="R269" s="29" t="s">
        <v>185</v>
      </c>
      <c r="S269" s="38" t="s">
        <v>48</v>
      </c>
      <c r="T269" s="39" t="s">
        <v>73</v>
      </c>
      <c r="U269" s="39" t="s">
        <v>59</v>
      </c>
      <c r="V269" s="38" t="s">
        <v>104</v>
      </c>
      <c r="W269" s="40" t="s">
        <v>59</v>
      </c>
      <c r="X269" s="13" t="s">
        <v>59</v>
      </c>
      <c r="Y269" s="13" t="s">
        <v>59</v>
      </c>
      <c r="Z269" s="13" t="s">
        <v>59</v>
      </c>
      <c r="AA269" s="13" t="s">
        <v>59</v>
      </c>
      <c r="AB269" s="41" t="s">
        <v>59</v>
      </c>
      <c r="AC269" s="16" t="s">
        <v>59</v>
      </c>
      <c r="AD269" s="42" t="s">
        <v>59</v>
      </c>
      <c r="AE269" s="42">
        <v>16.899999999999999</v>
      </c>
      <c r="AF269" s="42">
        <v>1.21</v>
      </c>
      <c r="AG269" s="43" t="s">
        <v>59</v>
      </c>
      <c r="AH269" s="43" t="s">
        <v>59</v>
      </c>
      <c r="AI269" s="43" t="s">
        <v>59</v>
      </c>
      <c r="AJ269" s="17" t="s">
        <v>59</v>
      </c>
      <c r="AK269" s="17" t="s">
        <v>59</v>
      </c>
      <c r="AL269" s="17">
        <v>8.3976352782440991</v>
      </c>
      <c r="AM269" s="17" t="s">
        <v>59</v>
      </c>
      <c r="AN269" s="17" t="s">
        <v>59</v>
      </c>
      <c r="AO269" s="44" t="s">
        <v>61</v>
      </c>
    </row>
    <row r="270" spans="1:41" ht="12" customHeight="1" x14ac:dyDescent="0.35">
      <c r="A270" s="29" t="s">
        <v>96</v>
      </c>
      <c r="B270" s="30" t="s">
        <v>212</v>
      </c>
      <c r="C270" s="29">
        <v>128</v>
      </c>
      <c r="D270" s="29" t="s">
        <v>213</v>
      </c>
      <c r="E270" s="31" t="s">
        <v>214</v>
      </c>
      <c r="F270" s="29">
        <v>1160</v>
      </c>
      <c r="G270" s="29"/>
      <c r="H270" s="32">
        <v>46101</v>
      </c>
      <c r="I270" s="33">
        <v>46101</v>
      </c>
      <c r="J270" s="34" t="s">
        <v>79</v>
      </c>
      <c r="K270" s="35">
        <v>0.7111574074074074</v>
      </c>
      <c r="L270" s="35">
        <v>0.86093750000000002</v>
      </c>
      <c r="M270" s="36">
        <v>0.75282407407407403</v>
      </c>
      <c r="N270" s="35">
        <v>0.90260416666666665</v>
      </c>
      <c r="O270" s="37">
        <f>IF(N270&gt;M270,N270-M270,(N270+1)-M270)</f>
        <v>0.14978009259259262</v>
      </c>
      <c r="P270" s="29" t="s">
        <v>215</v>
      </c>
      <c r="Q270" s="29" t="s">
        <v>216</v>
      </c>
      <c r="R270" s="29" t="s">
        <v>217</v>
      </c>
      <c r="S270" s="38" t="s">
        <v>46</v>
      </c>
      <c r="T270" s="39" t="s">
        <v>73</v>
      </c>
      <c r="U270" s="39" t="s">
        <v>59</v>
      </c>
      <c r="V270" s="38" t="s">
        <v>100</v>
      </c>
      <c r="W270" s="40" t="s">
        <v>59</v>
      </c>
      <c r="X270" s="13" t="s">
        <v>59</v>
      </c>
      <c r="Y270" s="13" t="s">
        <v>59</v>
      </c>
      <c r="Z270" s="13" t="s">
        <v>59</v>
      </c>
      <c r="AA270" s="13" t="s">
        <v>59</v>
      </c>
      <c r="AB270" s="41" t="s">
        <v>59</v>
      </c>
      <c r="AC270" s="16" t="s">
        <v>59</v>
      </c>
      <c r="AD270" s="42" t="s">
        <v>59</v>
      </c>
      <c r="AE270" s="42">
        <v>46.6</v>
      </c>
      <c r="AF270" s="42">
        <v>1.62</v>
      </c>
      <c r="AG270" s="43" t="s">
        <v>59</v>
      </c>
      <c r="AH270" s="43" t="s">
        <v>59</v>
      </c>
      <c r="AI270" s="43" t="s">
        <v>59</v>
      </c>
      <c r="AJ270" s="17" t="s">
        <v>59</v>
      </c>
      <c r="AK270" s="17" t="s">
        <v>59</v>
      </c>
      <c r="AL270" s="17">
        <v>8.6207896248871361</v>
      </c>
      <c r="AM270" s="17" t="s">
        <v>59</v>
      </c>
      <c r="AN270" s="17" t="s">
        <v>59</v>
      </c>
      <c r="AO270" s="44" t="s">
        <v>61</v>
      </c>
    </row>
    <row r="271" spans="1:41" ht="12" customHeight="1" x14ac:dyDescent="0.35">
      <c r="A271" s="29" t="s">
        <v>96</v>
      </c>
      <c r="B271" s="30" t="s">
        <v>266</v>
      </c>
      <c r="C271" s="29">
        <v>35</v>
      </c>
      <c r="D271" s="29" t="s">
        <v>267</v>
      </c>
      <c r="E271" s="31" t="s">
        <v>269</v>
      </c>
      <c r="F271" s="29">
        <v>2134</v>
      </c>
      <c r="G271" s="29" t="s">
        <v>59</v>
      </c>
      <c r="H271" s="32">
        <v>46101</v>
      </c>
      <c r="I271" s="33">
        <v>46101</v>
      </c>
      <c r="J271" s="34" t="s">
        <v>79</v>
      </c>
      <c r="K271" s="35">
        <v>0.375</v>
      </c>
      <c r="L271" s="35">
        <v>0.54166666666666663</v>
      </c>
      <c r="M271" s="36">
        <v>0.375</v>
      </c>
      <c r="N271" s="35">
        <v>0.54166666666666663</v>
      </c>
      <c r="O271" s="37">
        <f>IF(N271&gt;M271,N271-M271,(N271+1)-M271)</f>
        <v>0.16666666666666663</v>
      </c>
      <c r="P271" s="29" t="s">
        <v>268</v>
      </c>
      <c r="Q271" s="29" t="s">
        <v>59</v>
      </c>
      <c r="R271" s="29" t="s">
        <v>268</v>
      </c>
      <c r="S271" s="38" t="s">
        <v>46</v>
      </c>
      <c r="T271" s="39" t="s">
        <v>73</v>
      </c>
      <c r="U271" s="39" t="s">
        <v>59</v>
      </c>
      <c r="V271" s="38" t="s">
        <v>100</v>
      </c>
      <c r="W271" s="40" t="s">
        <v>59</v>
      </c>
      <c r="X271" s="13" t="s">
        <v>59</v>
      </c>
      <c r="Y271" s="13" t="s">
        <v>59</v>
      </c>
      <c r="Z271" s="13" t="s">
        <v>59</v>
      </c>
      <c r="AA271" s="13" t="s">
        <v>59</v>
      </c>
      <c r="AB271" s="41" t="s">
        <v>59</v>
      </c>
      <c r="AC271" s="16" t="s">
        <v>59</v>
      </c>
      <c r="AD271" s="42" t="s">
        <v>59</v>
      </c>
      <c r="AE271" s="42">
        <v>24.4</v>
      </c>
      <c r="AF271" s="42">
        <v>0</v>
      </c>
      <c r="AG271" s="43" t="s">
        <v>59</v>
      </c>
      <c r="AH271" s="43" t="s">
        <v>59</v>
      </c>
      <c r="AI271" s="43" t="s">
        <v>59</v>
      </c>
      <c r="AJ271" s="17" t="s">
        <v>59</v>
      </c>
      <c r="AK271" s="17" t="s">
        <v>59</v>
      </c>
      <c r="AL271" s="17">
        <v>8.7595999999999989</v>
      </c>
      <c r="AM271" s="17" t="s">
        <v>59</v>
      </c>
      <c r="AN271" s="17" t="s">
        <v>59</v>
      </c>
      <c r="AO271" s="44" t="s">
        <v>61</v>
      </c>
    </row>
    <row r="272" spans="1:41" ht="12" customHeight="1" x14ac:dyDescent="0.35">
      <c r="A272" s="29" t="s">
        <v>96</v>
      </c>
      <c r="B272" s="30" t="s">
        <v>260</v>
      </c>
      <c r="C272" s="29">
        <v>33</v>
      </c>
      <c r="D272" s="29" t="s">
        <v>261</v>
      </c>
      <c r="E272" s="31" t="s">
        <v>262</v>
      </c>
      <c r="F272" s="29">
        <v>31586</v>
      </c>
      <c r="G272" s="29" t="s">
        <v>59</v>
      </c>
      <c r="H272" s="32">
        <v>46102</v>
      </c>
      <c r="I272" s="33">
        <v>46102</v>
      </c>
      <c r="J272" s="34" t="s">
        <v>71</v>
      </c>
      <c r="K272" s="35">
        <v>0.72328703703703701</v>
      </c>
      <c r="L272" s="35">
        <v>0.852025462962963</v>
      </c>
      <c r="M272" s="36">
        <v>0.84828703703703701</v>
      </c>
      <c r="N272" s="35">
        <v>0.977025462962963</v>
      </c>
      <c r="O272" s="37">
        <f>IF(N272&gt;M272,N272-M272,(N272+1)-M272)</f>
        <v>0.12873842592592599</v>
      </c>
      <c r="P272" s="29" t="s">
        <v>263</v>
      </c>
      <c r="Q272" s="29" t="s">
        <v>59</v>
      </c>
      <c r="R272" s="29" t="s">
        <v>263</v>
      </c>
      <c r="S272" s="38" t="s">
        <v>46</v>
      </c>
      <c r="T272" s="39" t="s">
        <v>73</v>
      </c>
      <c r="U272" s="39" t="s">
        <v>59</v>
      </c>
      <c r="V272" s="38" t="s">
        <v>104</v>
      </c>
      <c r="W272" s="40" t="s">
        <v>59</v>
      </c>
      <c r="X272" s="13" t="s">
        <v>59</v>
      </c>
      <c r="Y272" s="13" t="s">
        <v>59</v>
      </c>
      <c r="Z272" s="13" t="s">
        <v>59</v>
      </c>
      <c r="AA272" s="13" t="s">
        <v>59</v>
      </c>
      <c r="AB272" s="41" t="s">
        <v>59</v>
      </c>
      <c r="AC272" s="16" t="s">
        <v>59</v>
      </c>
      <c r="AD272" s="42" t="s">
        <v>59</v>
      </c>
      <c r="AE272" s="42">
        <v>79.3</v>
      </c>
      <c r="AF272" s="42">
        <v>0.3</v>
      </c>
      <c r="AG272" s="43" t="s">
        <v>59</v>
      </c>
      <c r="AH272" s="43" t="s">
        <v>59</v>
      </c>
      <c r="AI272" s="43" t="s">
        <v>59</v>
      </c>
      <c r="AJ272" s="17" t="s">
        <v>59</v>
      </c>
      <c r="AK272" s="17" t="s">
        <v>59</v>
      </c>
      <c r="AL272" s="17">
        <v>8.81111111111111</v>
      </c>
      <c r="AM272" s="17" t="s">
        <v>59</v>
      </c>
      <c r="AN272" s="17" t="s">
        <v>59</v>
      </c>
      <c r="AO272" s="44" t="s">
        <v>61</v>
      </c>
    </row>
    <row r="273" spans="1:41" ht="12" customHeight="1" x14ac:dyDescent="0.35">
      <c r="A273" s="29" t="s">
        <v>96</v>
      </c>
      <c r="B273" s="30" t="s">
        <v>266</v>
      </c>
      <c r="C273" s="29">
        <v>35</v>
      </c>
      <c r="D273" s="29" t="s">
        <v>267</v>
      </c>
      <c r="E273" s="31" t="s">
        <v>269</v>
      </c>
      <c r="F273" s="29">
        <v>2134</v>
      </c>
      <c r="G273" s="29" t="s">
        <v>59</v>
      </c>
      <c r="H273" s="32">
        <v>46102</v>
      </c>
      <c r="I273" s="33">
        <v>46102</v>
      </c>
      <c r="J273" s="34" t="s">
        <v>71</v>
      </c>
      <c r="K273" s="35">
        <v>0.375</v>
      </c>
      <c r="L273" s="35">
        <v>0.52083333333333337</v>
      </c>
      <c r="M273" s="36">
        <v>0.375</v>
      </c>
      <c r="N273" s="35">
        <v>0.52083333333333337</v>
      </c>
      <c r="O273" s="37">
        <f>IF(N273&gt;M273,N273-M273,(N273+1)-M273)</f>
        <v>0.14583333333333337</v>
      </c>
      <c r="P273" s="29" t="s">
        <v>268</v>
      </c>
      <c r="Q273" s="29" t="s">
        <v>59</v>
      </c>
      <c r="R273" s="29" t="s">
        <v>268</v>
      </c>
      <c r="S273" s="38" t="s">
        <v>46</v>
      </c>
      <c r="T273" s="39" t="s">
        <v>73</v>
      </c>
      <c r="U273" s="39" t="s">
        <v>59</v>
      </c>
      <c r="V273" s="38" t="s">
        <v>104</v>
      </c>
      <c r="W273" s="40" t="s">
        <v>59</v>
      </c>
      <c r="X273" s="13" t="s">
        <v>59</v>
      </c>
      <c r="Y273" s="13" t="s">
        <v>59</v>
      </c>
      <c r="Z273" s="13" t="s">
        <v>59</v>
      </c>
      <c r="AA273" s="13" t="s">
        <v>59</v>
      </c>
      <c r="AB273" s="41" t="s">
        <v>59</v>
      </c>
      <c r="AC273" s="16" t="s">
        <v>59</v>
      </c>
      <c r="AD273" s="42" t="s">
        <v>59</v>
      </c>
      <c r="AE273" s="42">
        <v>24.7</v>
      </c>
      <c r="AF273" s="42">
        <v>0</v>
      </c>
      <c r="AG273" s="43" t="s">
        <v>59</v>
      </c>
      <c r="AH273" s="43" t="s">
        <v>59</v>
      </c>
      <c r="AI273" s="43" t="s">
        <v>59</v>
      </c>
      <c r="AJ273" s="17" t="s">
        <v>59</v>
      </c>
      <c r="AK273" s="17" t="s">
        <v>59</v>
      </c>
      <c r="AL273" s="17">
        <v>8.8673000000000002</v>
      </c>
      <c r="AM273" s="17" t="s">
        <v>59</v>
      </c>
      <c r="AN273" s="17" t="s">
        <v>59</v>
      </c>
      <c r="AO273" s="44" t="s">
        <v>61</v>
      </c>
    </row>
    <row r="274" spans="1:41" ht="12" customHeight="1" x14ac:dyDescent="0.35">
      <c r="A274" s="29" t="s">
        <v>68</v>
      </c>
      <c r="B274" s="30" t="s">
        <v>58</v>
      </c>
      <c r="C274" s="29">
        <v>74</v>
      </c>
      <c r="D274" s="29" t="s">
        <v>69</v>
      </c>
      <c r="E274" s="31" t="s">
        <v>70</v>
      </c>
      <c r="F274" s="29">
        <v>2845</v>
      </c>
      <c r="G274" s="29" t="s">
        <v>59</v>
      </c>
      <c r="H274" s="32">
        <v>46103</v>
      </c>
      <c r="I274" s="33">
        <v>46103</v>
      </c>
      <c r="J274" s="34" t="s">
        <v>74</v>
      </c>
      <c r="K274" s="35">
        <v>0.54173611111111108</v>
      </c>
      <c r="L274" s="35">
        <v>0.62508101851851849</v>
      </c>
      <c r="M274" s="36">
        <v>0.41673611111111108</v>
      </c>
      <c r="N274" s="35">
        <v>0.50008101851851849</v>
      </c>
      <c r="O274" s="37">
        <f>IF(N274&gt;M274,N274-M274,(N274+1)-M274)</f>
        <v>8.3344907407407409E-2</v>
      </c>
      <c r="P274" s="29" t="s">
        <v>72</v>
      </c>
      <c r="Q274" s="29" t="s">
        <v>59</v>
      </c>
      <c r="R274" s="29" t="s">
        <v>72</v>
      </c>
      <c r="S274" s="38" t="s">
        <v>48</v>
      </c>
      <c r="T274" s="39" t="s">
        <v>73</v>
      </c>
      <c r="U274" s="39" t="s">
        <v>59</v>
      </c>
      <c r="V274" s="38" t="s">
        <v>107</v>
      </c>
      <c r="W274" s="40" t="s">
        <v>59</v>
      </c>
      <c r="X274" s="13" t="s">
        <v>59</v>
      </c>
      <c r="Y274" s="13" t="s">
        <v>59</v>
      </c>
      <c r="Z274" s="13" t="s">
        <v>59</v>
      </c>
      <c r="AA274" s="13" t="s">
        <v>59</v>
      </c>
      <c r="AB274" s="41" t="s">
        <v>59</v>
      </c>
      <c r="AC274" s="16" t="s">
        <v>59</v>
      </c>
      <c r="AD274" s="42" t="s">
        <v>59</v>
      </c>
      <c r="AE274" s="42">
        <v>18.86</v>
      </c>
      <c r="AF274" s="42">
        <v>0.69</v>
      </c>
      <c r="AG274" s="43" t="s">
        <v>59</v>
      </c>
      <c r="AH274" s="43" t="s">
        <v>59</v>
      </c>
      <c r="AI274" s="43" t="s">
        <v>59</v>
      </c>
      <c r="AJ274" s="17" t="s">
        <v>59</v>
      </c>
      <c r="AK274" s="17" t="s">
        <v>59</v>
      </c>
      <c r="AL274" s="17">
        <v>8.9443034109414743</v>
      </c>
      <c r="AM274" s="17" t="s">
        <v>59</v>
      </c>
      <c r="AN274" s="17" t="s">
        <v>59</v>
      </c>
      <c r="AO274" s="44" t="s">
        <v>61</v>
      </c>
    </row>
    <row r="275" spans="1:41" ht="12" customHeight="1" x14ac:dyDescent="0.35">
      <c r="A275" s="29" t="s">
        <v>96</v>
      </c>
      <c r="B275" s="30" t="s">
        <v>238</v>
      </c>
      <c r="C275" s="29">
        <v>6</v>
      </c>
      <c r="D275" s="29" t="s">
        <v>239</v>
      </c>
      <c r="E275" s="31" t="s">
        <v>240</v>
      </c>
      <c r="F275" s="29">
        <v>3164</v>
      </c>
      <c r="G275" s="29" t="s">
        <v>59</v>
      </c>
      <c r="H275" s="32">
        <v>46103</v>
      </c>
      <c r="I275" s="33">
        <v>46103</v>
      </c>
      <c r="J275" s="34" t="s">
        <v>74</v>
      </c>
      <c r="K275" s="35">
        <v>0.77925925925925921</v>
      </c>
      <c r="L275" s="35">
        <v>0.82913194444444449</v>
      </c>
      <c r="M275" s="36">
        <v>0.82092592592592595</v>
      </c>
      <c r="N275" s="35">
        <v>0.87079861111111112</v>
      </c>
      <c r="O275" s="37">
        <f>IF(N275&gt;M275,N275-M275,(N275+1)-M275)</f>
        <v>4.9872685185185173E-2</v>
      </c>
      <c r="P275" s="29" t="s">
        <v>241</v>
      </c>
      <c r="Q275" s="29" t="s">
        <v>59</v>
      </c>
      <c r="R275" s="29" t="s">
        <v>241</v>
      </c>
      <c r="S275" s="38" t="s">
        <v>46</v>
      </c>
      <c r="T275" s="39" t="s">
        <v>73</v>
      </c>
      <c r="U275" s="39" t="s">
        <v>59</v>
      </c>
      <c r="V275" s="38" t="s">
        <v>107</v>
      </c>
      <c r="W275" s="40" t="s">
        <v>59</v>
      </c>
      <c r="X275" s="13" t="s">
        <v>59</v>
      </c>
      <c r="Y275" s="13" t="s">
        <v>59</v>
      </c>
      <c r="Z275" s="13" t="s">
        <v>59</v>
      </c>
      <c r="AA275" s="13" t="s">
        <v>59</v>
      </c>
      <c r="AB275" s="41" t="s">
        <v>59</v>
      </c>
      <c r="AC275" s="16" t="s">
        <v>59</v>
      </c>
      <c r="AD275" s="42" t="s">
        <v>59</v>
      </c>
      <c r="AE275" s="42">
        <v>11.2</v>
      </c>
      <c r="AF275" s="42">
        <v>0.6</v>
      </c>
      <c r="AG275" s="43" t="s">
        <v>59</v>
      </c>
      <c r="AH275" s="43" t="s">
        <v>59</v>
      </c>
      <c r="AI275" s="43" t="s">
        <v>59</v>
      </c>
      <c r="AJ275" s="17" t="s">
        <v>59</v>
      </c>
      <c r="AK275" s="17" t="s">
        <v>59</v>
      </c>
      <c r="AL275" s="17">
        <v>9.0243999999999982</v>
      </c>
      <c r="AM275" s="17" t="s">
        <v>59</v>
      </c>
      <c r="AN275" s="17" t="s">
        <v>59</v>
      </c>
      <c r="AO275" s="44" t="s">
        <v>61</v>
      </c>
    </row>
    <row r="276" spans="1:41" ht="12" customHeight="1" x14ac:dyDescent="0.35">
      <c r="A276" s="29" t="s">
        <v>96</v>
      </c>
      <c r="B276" s="30" t="s">
        <v>238</v>
      </c>
      <c r="C276" s="29">
        <v>6</v>
      </c>
      <c r="D276" s="29" t="s">
        <v>239</v>
      </c>
      <c r="E276" s="31" t="s">
        <v>240</v>
      </c>
      <c r="F276" s="29">
        <v>3164</v>
      </c>
      <c r="G276" s="29" t="s">
        <v>59</v>
      </c>
      <c r="H276" s="32">
        <v>46102</v>
      </c>
      <c r="I276" s="33">
        <v>46102</v>
      </c>
      <c r="J276" s="34" t="s">
        <v>71</v>
      </c>
      <c r="K276" s="35">
        <v>0.46881944444444446</v>
      </c>
      <c r="L276" s="35">
        <v>0.47574074074074074</v>
      </c>
      <c r="M276" s="36">
        <v>0.51048611111111108</v>
      </c>
      <c r="N276" s="35">
        <v>0.51740740740740743</v>
      </c>
      <c r="O276" s="37">
        <f>IF(N276&gt;M276,N276-M276,(N276+1)-M276)</f>
        <v>6.921296296296342E-3</v>
      </c>
      <c r="P276" s="29" t="s">
        <v>241</v>
      </c>
      <c r="Q276" s="29" t="s">
        <v>248</v>
      </c>
      <c r="R276" s="29" t="s">
        <v>249</v>
      </c>
      <c r="S276" s="38" t="s">
        <v>46</v>
      </c>
      <c r="T276" s="39" t="s">
        <v>73</v>
      </c>
      <c r="U276" s="39" t="s">
        <v>59</v>
      </c>
      <c r="V276" s="38" t="s">
        <v>104</v>
      </c>
      <c r="W276" s="40" t="s">
        <v>59</v>
      </c>
      <c r="X276" s="13" t="s">
        <v>59</v>
      </c>
      <c r="Y276" s="13" t="s">
        <v>59</v>
      </c>
      <c r="Z276" s="13" t="s">
        <v>59</v>
      </c>
      <c r="AA276" s="13" t="s">
        <v>59</v>
      </c>
      <c r="AB276" s="41" t="s">
        <v>59</v>
      </c>
      <c r="AC276" s="16" t="s">
        <v>59</v>
      </c>
      <c r="AD276" s="42" t="s">
        <v>59</v>
      </c>
      <c r="AE276" s="42">
        <v>11.3</v>
      </c>
      <c r="AF276" s="42">
        <v>1.9</v>
      </c>
      <c r="AG276" s="43" t="s">
        <v>59</v>
      </c>
      <c r="AH276" s="43" t="s">
        <v>59</v>
      </c>
      <c r="AI276" s="43" t="s">
        <v>59</v>
      </c>
      <c r="AJ276" s="17" t="s">
        <v>59</v>
      </c>
      <c r="AK276" s="17" t="s">
        <v>59</v>
      </c>
      <c r="AL276" s="17">
        <v>9.1049749999999996</v>
      </c>
      <c r="AM276" s="17" t="s">
        <v>59</v>
      </c>
      <c r="AN276" s="17" t="s">
        <v>59</v>
      </c>
      <c r="AO276" s="44" t="s">
        <v>61</v>
      </c>
    </row>
    <row r="277" spans="1:41" ht="12" customHeight="1" x14ac:dyDescent="0.35">
      <c r="A277" s="29" t="s">
        <v>68</v>
      </c>
      <c r="B277" s="30" t="s">
        <v>58</v>
      </c>
      <c r="C277" s="29">
        <v>74</v>
      </c>
      <c r="D277" s="29" t="s">
        <v>69</v>
      </c>
      <c r="E277" s="31" t="s">
        <v>70</v>
      </c>
      <c r="F277" s="29">
        <v>2845</v>
      </c>
      <c r="G277" s="29" t="s">
        <v>59</v>
      </c>
      <c r="H277" s="32">
        <v>46104</v>
      </c>
      <c r="I277" s="33">
        <v>46104</v>
      </c>
      <c r="J277" s="34" t="s">
        <v>67</v>
      </c>
      <c r="K277" s="35">
        <v>0.16701388888888888</v>
      </c>
      <c r="L277" s="35">
        <v>0.20833333333333334</v>
      </c>
      <c r="M277" s="36">
        <v>4.2013888888888892E-2</v>
      </c>
      <c r="N277" s="35">
        <v>8.3333333333333329E-2</v>
      </c>
      <c r="O277" s="37">
        <f>IF(N277&gt;M277,N277-M277,(N277+1)-M277)</f>
        <v>4.1319444444444436E-2</v>
      </c>
      <c r="P277" s="29" t="s">
        <v>75</v>
      </c>
      <c r="Q277" s="29" t="s">
        <v>59</v>
      </c>
      <c r="R277" s="29" t="s">
        <v>75</v>
      </c>
      <c r="S277" s="38" t="s">
        <v>49</v>
      </c>
      <c r="T277" s="39" t="s">
        <v>73</v>
      </c>
      <c r="U277" s="39" t="s">
        <v>59</v>
      </c>
      <c r="V277" s="38" t="s">
        <v>107</v>
      </c>
      <c r="W277" s="40" t="s">
        <v>59</v>
      </c>
      <c r="X277" s="13" t="s">
        <v>59</v>
      </c>
      <c r="Y277" s="13" t="s">
        <v>59</v>
      </c>
      <c r="Z277" s="13" t="s">
        <v>59</v>
      </c>
      <c r="AA277" s="13" t="s">
        <v>59</v>
      </c>
      <c r="AB277" s="41" t="s">
        <v>59</v>
      </c>
      <c r="AC277" s="16" t="s">
        <v>59</v>
      </c>
      <c r="AD277" s="42" t="s">
        <v>59</v>
      </c>
      <c r="AE277" s="42">
        <v>19.62</v>
      </c>
      <c r="AF277" s="42">
        <v>0.95</v>
      </c>
      <c r="AG277" s="43" t="s">
        <v>59</v>
      </c>
      <c r="AH277" s="43" t="s">
        <v>59</v>
      </c>
      <c r="AI277" s="43" t="s">
        <v>59</v>
      </c>
      <c r="AJ277" s="17" t="s">
        <v>59</v>
      </c>
      <c r="AK277" s="17" t="s">
        <v>59</v>
      </c>
      <c r="AL277" s="17">
        <v>9.3047313320610687</v>
      </c>
      <c r="AM277" s="17" t="s">
        <v>59</v>
      </c>
      <c r="AN277" s="17" t="s">
        <v>59</v>
      </c>
      <c r="AO277" s="44" t="s">
        <v>61</v>
      </c>
    </row>
    <row r="278" spans="1:41" ht="12" customHeight="1" x14ac:dyDescent="0.35">
      <c r="A278" s="29" t="s">
        <v>96</v>
      </c>
      <c r="B278" s="30" t="s">
        <v>200</v>
      </c>
      <c r="C278" s="29">
        <v>26</v>
      </c>
      <c r="D278" s="29" t="s">
        <v>201</v>
      </c>
      <c r="E278" s="31" t="s">
        <v>205</v>
      </c>
      <c r="F278" s="29">
        <v>2724</v>
      </c>
      <c r="G278" s="29" t="s">
        <v>59</v>
      </c>
      <c r="H278" s="32">
        <v>46101</v>
      </c>
      <c r="I278" s="33">
        <v>46101</v>
      </c>
      <c r="J278" s="34" t="s">
        <v>79</v>
      </c>
      <c r="K278" s="35">
        <v>0.76359953703703709</v>
      </c>
      <c r="L278" s="35">
        <v>0.85583333333333333</v>
      </c>
      <c r="M278" s="36">
        <v>0.80526620370370372</v>
      </c>
      <c r="N278" s="35">
        <v>0.89749999999999996</v>
      </c>
      <c r="O278" s="37">
        <f>IF(N278&gt;M278,N278-M278,(N278+1)-M278)</f>
        <v>9.2233796296296244E-2</v>
      </c>
      <c r="P278" s="29" t="s">
        <v>203</v>
      </c>
      <c r="Q278" s="29" t="s">
        <v>136</v>
      </c>
      <c r="R278" s="29" t="s">
        <v>204</v>
      </c>
      <c r="S278" s="38" t="s">
        <v>46</v>
      </c>
      <c r="T278" s="39" t="s">
        <v>73</v>
      </c>
      <c r="U278" s="39" t="s">
        <v>59</v>
      </c>
      <c r="V278" s="38" t="s">
        <v>100</v>
      </c>
      <c r="W278" s="40" t="s">
        <v>59</v>
      </c>
      <c r="X278" s="13" t="s">
        <v>59</v>
      </c>
      <c r="Y278" s="13" t="s">
        <v>59</v>
      </c>
      <c r="Z278" s="13" t="s">
        <v>59</v>
      </c>
      <c r="AA278" s="13" t="s">
        <v>59</v>
      </c>
      <c r="AB278" s="41" t="s">
        <v>59</v>
      </c>
      <c r="AC278" s="16" t="s">
        <v>59</v>
      </c>
      <c r="AD278" s="42" t="s">
        <v>59</v>
      </c>
      <c r="AE278" s="42">
        <v>265.2</v>
      </c>
      <c r="AF278" s="42">
        <v>2.2799999999999998</v>
      </c>
      <c r="AG278" s="43" t="s">
        <v>59</v>
      </c>
      <c r="AH278" s="43" t="s">
        <v>59</v>
      </c>
      <c r="AI278" s="43" t="s">
        <v>59</v>
      </c>
      <c r="AJ278" s="17" t="s">
        <v>59</v>
      </c>
      <c r="AK278" s="17" t="s">
        <v>59</v>
      </c>
      <c r="AL278" s="17">
        <v>9.914364518310947</v>
      </c>
      <c r="AM278" s="17" t="s">
        <v>59</v>
      </c>
      <c r="AN278" s="17" t="s">
        <v>59</v>
      </c>
      <c r="AO278" s="44" t="s">
        <v>61</v>
      </c>
    </row>
    <row r="279" spans="1:41" ht="12" customHeight="1" x14ac:dyDescent="0.35">
      <c r="A279" s="29" t="s">
        <v>96</v>
      </c>
      <c r="B279" s="30" t="s">
        <v>212</v>
      </c>
      <c r="C279" s="29">
        <v>128</v>
      </c>
      <c r="D279" s="29" t="s">
        <v>213</v>
      </c>
      <c r="E279" s="31" t="s">
        <v>214</v>
      </c>
      <c r="F279" s="29">
        <v>1160</v>
      </c>
      <c r="G279" s="29"/>
      <c r="H279" s="32">
        <v>46103</v>
      </c>
      <c r="I279" s="33">
        <v>46103</v>
      </c>
      <c r="J279" s="34" t="s">
        <v>74</v>
      </c>
      <c r="K279" s="35">
        <v>0.38519675925925928</v>
      </c>
      <c r="L279" s="35">
        <v>0.49390046296296297</v>
      </c>
      <c r="M279" s="36">
        <v>0.42686342592592591</v>
      </c>
      <c r="N279" s="35">
        <v>0.5355671296296296</v>
      </c>
      <c r="O279" s="37">
        <f>IF(N279&gt;M279,N279-M279,(N279+1)-M279)</f>
        <v>0.10870370370370369</v>
      </c>
      <c r="P279" s="29" t="s">
        <v>215</v>
      </c>
      <c r="Q279" s="29" t="s">
        <v>216</v>
      </c>
      <c r="R279" s="29" t="s">
        <v>217</v>
      </c>
      <c r="S279" s="38" t="s">
        <v>46</v>
      </c>
      <c r="T279" s="39" t="s">
        <v>73</v>
      </c>
      <c r="U279" s="39" t="s">
        <v>59</v>
      </c>
      <c r="V279" s="38" t="s">
        <v>107</v>
      </c>
      <c r="W279" s="40" t="s">
        <v>59</v>
      </c>
      <c r="X279" s="13" t="s">
        <v>59</v>
      </c>
      <c r="Y279" s="13" t="s">
        <v>59</v>
      </c>
      <c r="Z279" s="13" t="s">
        <v>59</v>
      </c>
      <c r="AA279" s="13" t="s">
        <v>59</v>
      </c>
      <c r="AB279" s="41" t="s">
        <v>59</v>
      </c>
      <c r="AC279" s="16" t="s">
        <v>59</v>
      </c>
      <c r="AD279" s="42" t="s">
        <v>59</v>
      </c>
      <c r="AE279" s="42">
        <v>54.7</v>
      </c>
      <c r="AF279" s="42">
        <v>2.92</v>
      </c>
      <c r="AG279" s="43" t="s">
        <v>59</v>
      </c>
      <c r="AH279" s="43" t="s">
        <v>59</v>
      </c>
      <c r="AI279" s="43" t="s">
        <v>59</v>
      </c>
      <c r="AJ279" s="17" t="s">
        <v>59</v>
      </c>
      <c r="AK279" s="17" t="s">
        <v>59</v>
      </c>
      <c r="AL279" s="17">
        <v>10.119253057539193</v>
      </c>
      <c r="AM279" s="17" t="s">
        <v>59</v>
      </c>
      <c r="AN279" s="17" t="s">
        <v>59</v>
      </c>
      <c r="AO279" s="44" t="s">
        <v>61</v>
      </c>
    </row>
    <row r="280" spans="1:41" ht="12" customHeight="1" x14ac:dyDescent="0.35">
      <c r="A280" s="29" t="s">
        <v>96</v>
      </c>
      <c r="B280" s="30" t="s">
        <v>200</v>
      </c>
      <c r="C280" s="29">
        <v>26</v>
      </c>
      <c r="D280" s="29" t="s">
        <v>201</v>
      </c>
      <c r="E280" s="31" t="s">
        <v>205</v>
      </c>
      <c r="F280" s="29">
        <v>2724</v>
      </c>
      <c r="G280" s="29" t="s">
        <v>59</v>
      </c>
      <c r="H280" s="32">
        <v>46102</v>
      </c>
      <c r="I280" s="33">
        <v>46102</v>
      </c>
      <c r="J280" s="34" t="s">
        <v>71</v>
      </c>
      <c r="K280" s="35">
        <v>0.37783564814814813</v>
      </c>
      <c r="L280" s="35">
        <v>0.54197916666666668</v>
      </c>
      <c r="M280" s="36">
        <v>0.41950231481481481</v>
      </c>
      <c r="N280" s="35">
        <v>0.58364583333333331</v>
      </c>
      <c r="O280" s="37">
        <f>IF(N280&gt;M280,N280-M280,(N280+1)-M280)</f>
        <v>0.16414351851851849</v>
      </c>
      <c r="P280" s="29" t="s">
        <v>203</v>
      </c>
      <c r="Q280" s="29" t="s">
        <v>136</v>
      </c>
      <c r="R280" s="29" t="s">
        <v>204</v>
      </c>
      <c r="S280" s="38" t="s">
        <v>46</v>
      </c>
      <c r="T280" s="39" t="s">
        <v>73</v>
      </c>
      <c r="U280" s="39" t="s">
        <v>59</v>
      </c>
      <c r="V280" s="38" t="s">
        <v>104</v>
      </c>
      <c r="W280" s="40" t="s">
        <v>59</v>
      </c>
      <c r="X280" s="13" t="s">
        <v>59</v>
      </c>
      <c r="Y280" s="13" t="s">
        <v>59</v>
      </c>
      <c r="Z280" s="13" t="s">
        <v>59</v>
      </c>
      <c r="AA280" s="13" t="s">
        <v>59</v>
      </c>
      <c r="AB280" s="41" t="s">
        <v>59</v>
      </c>
      <c r="AC280" s="16" t="s">
        <v>59</v>
      </c>
      <c r="AD280" s="42" t="s">
        <v>59</v>
      </c>
      <c r="AE280" s="42">
        <v>272.5</v>
      </c>
      <c r="AF280" s="42">
        <v>4.91</v>
      </c>
      <c r="AG280" s="43" t="s">
        <v>59</v>
      </c>
      <c r="AH280" s="43" t="s">
        <v>59</v>
      </c>
      <c r="AI280" s="43" t="s">
        <v>59</v>
      </c>
      <c r="AJ280" s="17" t="s">
        <v>59</v>
      </c>
      <c r="AK280" s="17" t="s">
        <v>59</v>
      </c>
      <c r="AL280" s="17">
        <v>10.187271233935645</v>
      </c>
      <c r="AM280" s="17" t="s">
        <v>59</v>
      </c>
      <c r="AN280" s="17" t="s">
        <v>59</v>
      </c>
      <c r="AO280" s="44" t="s">
        <v>61</v>
      </c>
    </row>
    <row r="281" spans="1:41" ht="12" customHeight="1" x14ac:dyDescent="0.35">
      <c r="A281" s="29" t="s">
        <v>96</v>
      </c>
      <c r="B281" s="30" t="s">
        <v>212</v>
      </c>
      <c r="C281" s="29">
        <v>128</v>
      </c>
      <c r="D281" s="29" t="s">
        <v>213</v>
      </c>
      <c r="E281" s="31" t="s">
        <v>214</v>
      </c>
      <c r="F281" s="29">
        <v>1160</v>
      </c>
      <c r="G281" s="29"/>
      <c r="H281" s="32">
        <v>46102</v>
      </c>
      <c r="I281" s="33">
        <v>46102</v>
      </c>
      <c r="J281" s="34" t="s">
        <v>71</v>
      </c>
      <c r="K281" s="35">
        <v>0.45479166666666665</v>
      </c>
      <c r="L281" s="35">
        <v>0.53395833333333331</v>
      </c>
      <c r="M281" s="36">
        <v>0.49645833333333333</v>
      </c>
      <c r="N281" s="35">
        <v>0.57562500000000005</v>
      </c>
      <c r="O281" s="37">
        <f>IF(N281&gt;M281,N281-M281,(N281+1)-M281)</f>
        <v>7.9166666666666718E-2</v>
      </c>
      <c r="P281" s="29" t="s">
        <v>215</v>
      </c>
      <c r="Q281" s="29" t="s">
        <v>216</v>
      </c>
      <c r="R281" s="29" t="s">
        <v>217</v>
      </c>
      <c r="S281" s="38" t="s">
        <v>46</v>
      </c>
      <c r="T281" s="39" t="s">
        <v>73</v>
      </c>
      <c r="U281" s="39" t="s">
        <v>59</v>
      </c>
      <c r="V281" s="38" t="s">
        <v>104</v>
      </c>
      <c r="W281" s="40" t="s">
        <v>59</v>
      </c>
      <c r="X281" s="13" t="s">
        <v>59</v>
      </c>
      <c r="Y281" s="13" t="s">
        <v>59</v>
      </c>
      <c r="Z281" s="13" t="s">
        <v>59</v>
      </c>
      <c r="AA281" s="13" t="s">
        <v>59</v>
      </c>
      <c r="AB281" s="41" t="s">
        <v>59</v>
      </c>
      <c r="AC281" s="16" t="s">
        <v>59</v>
      </c>
      <c r="AD281" s="42" t="s">
        <v>59</v>
      </c>
      <c r="AE281" s="42">
        <v>57.5</v>
      </c>
      <c r="AF281" s="42">
        <v>3.85</v>
      </c>
      <c r="AG281" s="43" t="s">
        <v>59</v>
      </c>
      <c r="AH281" s="43" t="s">
        <v>59</v>
      </c>
      <c r="AI281" s="43" t="s">
        <v>59</v>
      </c>
      <c r="AJ281" s="17" t="s">
        <v>59</v>
      </c>
      <c r="AK281" s="17" t="s">
        <v>59</v>
      </c>
      <c r="AL281" s="17">
        <v>10.637240416974471</v>
      </c>
      <c r="AM281" s="17" t="s">
        <v>59</v>
      </c>
      <c r="AN281" s="17" t="s">
        <v>59</v>
      </c>
      <c r="AO281" s="44" t="s">
        <v>61</v>
      </c>
    </row>
    <row r="282" spans="1:41" ht="12" customHeight="1" x14ac:dyDescent="0.35">
      <c r="A282" s="29" t="s">
        <v>96</v>
      </c>
      <c r="B282" s="30" t="s">
        <v>266</v>
      </c>
      <c r="C282" s="29">
        <v>35</v>
      </c>
      <c r="D282" s="29" t="s">
        <v>267</v>
      </c>
      <c r="E282" s="31" t="s">
        <v>270</v>
      </c>
      <c r="F282" s="29">
        <v>3986</v>
      </c>
      <c r="G282" s="29" t="s">
        <v>59</v>
      </c>
      <c r="H282" s="32">
        <v>46103</v>
      </c>
      <c r="I282" s="33">
        <v>46103</v>
      </c>
      <c r="J282" s="34" t="s">
        <v>74</v>
      </c>
      <c r="K282" s="35">
        <v>0.375</v>
      </c>
      <c r="L282" s="35">
        <v>0.53125</v>
      </c>
      <c r="M282" s="36">
        <v>0.375</v>
      </c>
      <c r="N282" s="35">
        <v>0.53125</v>
      </c>
      <c r="O282" s="37">
        <f>IF(N282&gt;M282,N282-M282,(N282+1)-M282)</f>
        <v>0.15625</v>
      </c>
      <c r="P282" s="29" t="s">
        <v>268</v>
      </c>
      <c r="Q282" s="29" t="s">
        <v>59</v>
      </c>
      <c r="R282" s="29" t="s">
        <v>268</v>
      </c>
      <c r="S282" s="38" t="s">
        <v>46</v>
      </c>
      <c r="T282" s="39" t="s">
        <v>73</v>
      </c>
      <c r="U282" s="39" t="s">
        <v>59</v>
      </c>
      <c r="V282" s="38" t="s">
        <v>107</v>
      </c>
      <c r="W282" s="40" t="s">
        <v>59</v>
      </c>
      <c r="X282" s="13" t="s">
        <v>59</v>
      </c>
      <c r="Y282" s="13" t="s">
        <v>59</v>
      </c>
      <c r="Z282" s="13" t="s">
        <v>59</v>
      </c>
      <c r="AA282" s="13" t="s">
        <v>59</v>
      </c>
      <c r="AB282" s="41" t="s">
        <v>59</v>
      </c>
      <c r="AC282" s="16" t="s">
        <v>59</v>
      </c>
      <c r="AD282" s="42" t="s">
        <v>59</v>
      </c>
      <c r="AE282" s="42">
        <v>32.6</v>
      </c>
      <c r="AF282" s="42">
        <v>0</v>
      </c>
      <c r="AG282" s="43" t="s">
        <v>59</v>
      </c>
      <c r="AH282" s="43" t="s">
        <v>59</v>
      </c>
      <c r="AI282" s="43" t="s">
        <v>59</v>
      </c>
      <c r="AJ282" s="17" t="s">
        <v>59</v>
      </c>
      <c r="AK282" s="17" t="s">
        <v>59</v>
      </c>
      <c r="AL282" s="17">
        <v>11.703399999999998</v>
      </c>
      <c r="AM282" s="17" t="s">
        <v>59</v>
      </c>
      <c r="AN282" s="17" t="s">
        <v>59</v>
      </c>
      <c r="AO282" s="44" t="s">
        <v>61</v>
      </c>
    </row>
    <row r="283" spans="1:41" ht="12" customHeight="1" x14ac:dyDescent="0.35">
      <c r="A283" s="29" t="s">
        <v>96</v>
      </c>
      <c r="B283" s="30" t="s">
        <v>63</v>
      </c>
      <c r="C283" s="29">
        <v>20</v>
      </c>
      <c r="D283" s="29" t="s">
        <v>175</v>
      </c>
      <c r="E283" s="31" t="s">
        <v>176</v>
      </c>
      <c r="F283" s="29">
        <v>21659</v>
      </c>
      <c r="G283" s="29" t="s">
        <v>59</v>
      </c>
      <c r="H283" s="32">
        <v>46103</v>
      </c>
      <c r="I283" s="33">
        <v>46103</v>
      </c>
      <c r="J283" s="34" t="s">
        <v>74</v>
      </c>
      <c r="K283" s="35">
        <v>0.37222222222222223</v>
      </c>
      <c r="L283" s="35">
        <v>0.54583333333333328</v>
      </c>
      <c r="M283" s="36">
        <v>0.37222222222222223</v>
      </c>
      <c r="N283" s="35">
        <v>0.54583333333333328</v>
      </c>
      <c r="O283" s="37">
        <f>IF(N283&gt;M283,N283-M283,(N283+1)-M283)</f>
        <v>0.17361111111111105</v>
      </c>
      <c r="P283" s="29" t="s">
        <v>131</v>
      </c>
      <c r="Q283" s="29" t="s">
        <v>59</v>
      </c>
      <c r="R283" s="29" t="s">
        <v>131</v>
      </c>
      <c r="S283" s="38" t="s">
        <v>46</v>
      </c>
      <c r="T283" s="39" t="s">
        <v>73</v>
      </c>
      <c r="U283" s="39" t="s">
        <v>59</v>
      </c>
      <c r="V283" s="38" t="s">
        <v>107</v>
      </c>
      <c r="W283" s="40" t="s">
        <v>59</v>
      </c>
      <c r="X283" s="13" t="s">
        <v>59</v>
      </c>
      <c r="Y283" s="13" t="s">
        <v>59</v>
      </c>
      <c r="Z283" s="13" t="s">
        <v>59</v>
      </c>
      <c r="AA283" s="13" t="s">
        <v>59</v>
      </c>
      <c r="AB283" s="41" t="s">
        <v>59</v>
      </c>
      <c r="AC283" s="16" t="s">
        <v>59</v>
      </c>
      <c r="AD283" s="42" t="s">
        <v>59</v>
      </c>
      <c r="AE283" s="42">
        <v>40.4</v>
      </c>
      <c r="AF283" s="42">
        <v>12.19</v>
      </c>
      <c r="AG283" s="43" t="s">
        <v>59</v>
      </c>
      <c r="AH283" s="43" t="s">
        <v>59</v>
      </c>
      <c r="AI283" s="43" t="s">
        <v>59</v>
      </c>
      <c r="AJ283" s="17" t="s">
        <v>59</v>
      </c>
      <c r="AK283" s="17" t="s">
        <v>59</v>
      </c>
      <c r="AL283" s="17">
        <v>11.715999999999999</v>
      </c>
      <c r="AM283" s="17" t="s">
        <v>59</v>
      </c>
      <c r="AN283" s="17" t="s">
        <v>59</v>
      </c>
      <c r="AO283" s="44" t="s">
        <v>61</v>
      </c>
    </row>
    <row r="284" spans="1:41" ht="12" customHeight="1" x14ac:dyDescent="0.35">
      <c r="A284" s="29" t="s">
        <v>65</v>
      </c>
      <c r="B284" s="30" t="s">
        <v>60</v>
      </c>
      <c r="C284" s="29">
        <v>39</v>
      </c>
      <c r="D284" s="29" t="s">
        <v>66</v>
      </c>
      <c r="E284" s="31" t="s">
        <v>370</v>
      </c>
      <c r="F284" s="29">
        <v>33341</v>
      </c>
      <c r="G284" s="29" t="s">
        <v>59</v>
      </c>
      <c r="H284" s="32">
        <v>46103</v>
      </c>
      <c r="I284" s="33">
        <v>46103</v>
      </c>
      <c r="J284" s="34" t="s">
        <v>74</v>
      </c>
      <c r="K284" s="35">
        <v>0.68760416666666668</v>
      </c>
      <c r="L284" s="35">
        <v>0.89063657407407404</v>
      </c>
      <c r="M284" s="36">
        <v>0.77093750000000005</v>
      </c>
      <c r="N284" s="35">
        <v>0.97396990740740741</v>
      </c>
      <c r="O284" s="37">
        <f>IF(N284&gt;M284,N284-M284,(N284+1)-M284)</f>
        <v>0.20303240740740736</v>
      </c>
      <c r="P284" s="29" t="s">
        <v>225</v>
      </c>
      <c r="Q284" s="29" t="s">
        <v>59</v>
      </c>
      <c r="R284" s="29" t="s">
        <v>225</v>
      </c>
      <c r="S284" s="38" t="s">
        <v>46</v>
      </c>
      <c r="T284" s="39" t="s">
        <v>73</v>
      </c>
      <c r="U284" s="39" t="s">
        <v>59</v>
      </c>
      <c r="V284" s="38" t="s">
        <v>107</v>
      </c>
      <c r="W284" s="40" t="s">
        <v>59</v>
      </c>
      <c r="X284" s="13" t="s">
        <v>59</v>
      </c>
      <c r="Y284" s="13" t="s">
        <v>59</v>
      </c>
      <c r="Z284" s="13" t="s">
        <v>59</v>
      </c>
      <c r="AA284" s="13" t="s">
        <v>59</v>
      </c>
      <c r="AB284" s="41" t="s">
        <v>59</v>
      </c>
      <c r="AC284" s="16" t="s">
        <v>59</v>
      </c>
      <c r="AD284" s="42" t="s">
        <v>59</v>
      </c>
      <c r="AE284" s="42">
        <v>17.8</v>
      </c>
      <c r="AF284" s="42">
        <v>0.16</v>
      </c>
      <c r="AG284" s="43" t="s">
        <v>59</v>
      </c>
      <c r="AH284" s="43" t="s">
        <v>59</v>
      </c>
      <c r="AI284" s="43" t="s">
        <v>59</v>
      </c>
      <c r="AJ284" s="17" t="s">
        <v>59</v>
      </c>
      <c r="AK284" s="17" t="s">
        <v>59</v>
      </c>
      <c r="AL284" s="17">
        <v>11.866666666666667</v>
      </c>
      <c r="AM284" s="17" t="s">
        <v>59</v>
      </c>
      <c r="AN284" s="17" t="s">
        <v>59</v>
      </c>
      <c r="AO284" s="44" t="s">
        <v>61</v>
      </c>
    </row>
    <row r="285" spans="1:41" ht="12" customHeight="1" x14ac:dyDescent="0.35">
      <c r="A285" s="29" t="s">
        <v>65</v>
      </c>
      <c r="B285" s="30" t="s">
        <v>60</v>
      </c>
      <c r="C285" s="29">
        <v>39</v>
      </c>
      <c r="D285" s="29" t="s">
        <v>66</v>
      </c>
      <c r="E285" s="31" t="s">
        <v>371</v>
      </c>
      <c r="F285" s="29">
        <v>33342</v>
      </c>
      <c r="G285" s="29" t="s">
        <v>59</v>
      </c>
      <c r="H285" s="32">
        <v>46103</v>
      </c>
      <c r="I285" s="33">
        <v>46103</v>
      </c>
      <c r="J285" s="34" t="s">
        <v>74</v>
      </c>
      <c r="K285" s="35">
        <v>0.26701388888888888</v>
      </c>
      <c r="L285" s="35">
        <v>0.30982638888888892</v>
      </c>
      <c r="M285" s="36">
        <v>0.3503472222222222</v>
      </c>
      <c r="N285" s="35">
        <v>0.39315972222222223</v>
      </c>
      <c r="O285" s="37">
        <f>IF(N285&gt;M285,N285-M285,(N285+1)-M285)</f>
        <v>4.2812500000000031E-2</v>
      </c>
      <c r="P285" s="29" t="s">
        <v>226</v>
      </c>
      <c r="Q285" s="29" t="s">
        <v>59</v>
      </c>
      <c r="R285" s="29" t="s">
        <v>226</v>
      </c>
      <c r="S285" s="38" t="s">
        <v>48</v>
      </c>
      <c r="T285" s="39" t="s">
        <v>73</v>
      </c>
      <c r="U285" s="39" t="s">
        <v>59</v>
      </c>
      <c r="V285" s="38" t="s">
        <v>104</v>
      </c>
      <c r="W285" s="40" t="s">
        <v>59</v>
      </c>
      <c r="X285" s="13" t="s">
        <v>59</v>
      </c>
      <c r="Y285" s="13" t="s">
        <v>59</v>
      </c>
      <c r="Z285" s="13" t="s">
        <v>59</v>
      </c>
      <c r="AA285" s="13" t="s">
        <v>59</v>
      </c>
      <c r="AB285" s="41" t="s">
        <v>59</v>
      </c>
      <c r="AC285" s="16" t="s">
        <v>59</v>
      </c>
      <c r="AD285" s="42" t="s">
        <v>59</v>
      </c>
      <c r="AE285" s="42">
        <v>17.8</v>
      </c>
      <c r="AF285" s="42">
        <v>0.24</v>
      </c>
      <c r="AG285" s="43" t="s">
        <v>59</v>
      </c>
      <c r="AH285" s="43" t="s">
        <v>59</v>
      </c>
      <c r="AI285" s="43" t="s">
        <v>59</v>
      </c>
      <c r="AJ285" s="17" t="s">
        <v>59</v>
      </c>
      <c r="AK285" s="17" t="s">
        <v>59</v>
      </c>
      <c r="AL285" s="17">
        <v>11.866666666666667</v>
      </c>
      <c r="AM285" s="17" t="s">
        <v>59</v>
      </c>
      <c r="AN285" s="17" t="s">
        <v>59</v>
      </c>
      <c r="AO285" s="44" t="s">
        <v>61</v>
      </c>
    </row>
    <row r="286" spans="1:41" ht="12" customHeight="1" x14ac:dyDescent="0.35">
      <c r="A286" s="29" t="s">
        <v>65</v>
      </c>
      <c r="B286" s="30" t="s">
        <v>60</v>
      </c>
      <c r="C286" s="29">
        <v>39</v>
      </c>
      <c r="D286" s="29" t="s">
        <v>66</v>
      </c>
      <c r="E286" s="31" t="s">
        <v>371</v>
      </c>
      <c r="F286" s="29">
        <v>33342</v>
      </c>
      <c r="G286" s="29" t="s">
        <v>59</v>
      </c>
      <c r="H286" s="32">
        <v>46106</v>
      </c>
      <c r="I286" s="33">
        <v>46106</v>
      </c>
      <c r="J286" s="34" t="s">
        <v>110</v>
      </c>
      <c r="K286" s="35">
        <v>0.58333333333333337</v>
      </c>
      <c r="L286" s="35">
        <v>0.66282407407407407</v>
      </c>
      <c r="M286" s="36">
        <v>0.66666666666666663</v>
      </c>
      <c r="N286" s="35">
        <v>0.74615740740740744</v>
      </c>
      <c r="O286" s="37">
        <f>IF(N286&gt;M286,N286-M286,(N286+1)-M286)</f>
        <v>7.9490740740740806E-2</v>
      </c>
      <c r="P286" s="29" t="s">
        <v>227</v>
      </c>
      <c r="Q286" s="29" t="s">
        <v>59</v>
      </c>
      <c r="R286" s="29" t="s">
        <v>227</v>
      </c>
      <c r="S286" s="38" t="s">
        <v>48</v>
      </c>
      <c r="T286" s="39" t="s">
        <v>73</v>
      </c>
      <c r="U286" s="39" t="s">
        <v>59</v>
      </c>
      <c r="V286" s="38" t="s">
        <v>107</v>
      </c>
      <c r="W286" s="40" t="s">
        <v>59</v>
      </c>
      <c r="X286" s="13" t="s">
        <v>59</v>
      </c>
      <c r="Y286" s="13" t="s">
        <v>59</v>
      </c>
      <c r="Z286" s="13" t="s">
        <v>59</v>
      </c>
      <c r="AA286" s="13" t="s">
        <v>59</v>
      </c>
      <c r="AB286" s="41" t="s">
        <v>59</v>
      </c>
      <c r="AC286" s="16" t="s">
        <v>59</v>
      </c>
      <c r="AD286" s="42" t="s">
        <v>59</v>
      </c>
      <c r="AE286" s="42">
        <v>17.899999999999999</v>
      </c>
      <c r="AF286" s="42">
        <v>0.17</v>
      </c>
      <c r="AG286" s="43" t="s">
        <v>59</v>
      </c>
      <c r="AH286" s="43" t="s">
        <v>59</v>
      </c>
      <c r="AI286" s="43" t="s">
        <v>59</v>
      </c>
      <c r="AJ286" s="17" t="s">
        <v>59</v>
      </c>
      <c r="AK286" s="17" t="s">
        <v>59</v>
      </c>
      <c r="AL286" s="17">
        <v>11.933333333333334</v>
      </c>
      <c r="AM286" s="17" t="s">
        <v>59</v>
      </c>
      <c r="AN286" s="17" t="s">
        <v>59</v>
      </c>
      <c r="AO286" s="44" t="s">
        <v>61</v>
      </c>
    </row>
    <row r="287" spans="1:41" ht="12" customHeight="1" x14ac:dyDescent="0.35">
      <c r="A287" s="29" t="s">
        <v>96</v>
      </c>
      <c r="B287" s="30" t="s">
        <v>208</v>
      </c>
      <c r="C287" s="29">
        <v>25</v>
      </c>
      <c r="D287" s="29" t="s">
        <v>209</v>
      </c>
      <c r="E287" s="31" t="s">
        <v>210</v>
      </c>
      <c r="F287" s="29">
        <v>1109</v>
      </c>
      <c r="G287" s="29" t="s">
        <v>59</v>
      </c>
      <c r="H287" s="32">
        <v>46101</v>
      </c>
      <c r="I287" s="33">
        <v>46101</v>
      </c>
      <c r="J287" s="34" t="s">
        <v>79</v>
      </c>
      <c r="K287" s="35">
        <v>0.37484953703703705</v>
      </c>
      <c r="L287" s="35">
        <v>0.54258101851851848</v>
      </c>
      <c r="M287" s="36">
        <v>0.37484953703703705</v>
      </c>
      <c r="N287" s="35">
        <v>0.54258101851851848</v>
      </c>
      <c r="O287" s="37">
        <f>IF(N287&gt;M287,N287-M287,(N287+1)-M287)</f>
        <v>0.16773148148148143</v>
      </c>
      <c r="P287" s="29" t="s">
        <v>211</v>
      </c>
      <c r="Q287" s="29" t="s">
        <v>59</v>
      </c>
      <c r="R287" s="29" t="s">
        <v>211</v>
      </c>
      <c r="S287" s="38" t="s">
        <v>46</v>
      </c>
      <c r="T287" s="39" t="s">
        <v>73</v>
      </c>
      <c r="U287" s="39" t="s">
        <v>59</v>
      </c>
      <c r="V287" s="38" t="s">
        <v>100</v>
      </c>
      <c r="W287" s="40" t="s">
        <v>59</v>
      </c>
      <c r="X287" s="13" t="s">
        <v>59</v>
      </c>
      <c r="Y287" s="13" t="s">
        <v>59</v>
      </c>
      <c r="Z287" s="13" t="s">
        <v>59</v>
      </c>
      <c r="AA287" s="13" t="s">
        <v>59</v>
      </c>
      <c r="AB287" s="41" t="s">
        <v>59</v>
      </c>
      <c r="AC287" s="16" t="s">
        <v>59</v>
      </c>
      <c r="AD287" s="42" t="s">
        <v>59</v>
      </c>
      <c r="AE287" s="42">
        <v>13.7</v>
      </c>
      <c r="AF287" s="42">
        <v>0.8</v>
      </c>
      <c r="AG287" s="43" t="s">
        <v>59</v>
      </c>
      <c r="AH287" s="43" t="s">
        <v>59</v>
      </c>
      <c r="AI287" s="43" t="s">
        <v>59</v>
      </c>
      <c r="AJ287" s="17" t="s">
        <v>59</v>
      </c>
      <c r="AK287" s="17" t="s">
        <v>59</v>
      </c>
      <c r="AL287" s="17">
        <v>12.028</v>
      </c>
      <c r="AM287" s="17" t="s">
        <v>59</v>
      </c>
      <c r="AN287" s="17" t="s">
        <v>59</v>
      </c>
      <c r="AO287" s="44" t="s">
        <v>61</v>
      </c>
    </row>
    <row r="288" spans="1:41" ht="12" customHeight="1" x14ac:dyDescent="0.35">
      <c r="A288" s="29" t="s">
        <v>96</v>
      </c>
      <c r="B288" s="30" t="s">
        <v>208</v>
      </c>
      <c r="C288" s="29">
        <v>25</v>
      </c>
      <c r="D288" s="29" t="s">
        <v>209</v>
      </c>
      <c r="E288" s="31" t="s">
        <v>210</v>
      </c>
      <c r="F288" s="29">
        <v>1109</v>
      </c>
      <c r="G288" s="29" t="s">
        <v>59</v>
      </c>
      <c r="H288" s="32">
        <v>46101</v>
      </c>
      <c r="I288" s="33">
        <v>46101</v>
      </c>
      <c r="J288" s="34" t="s">
        <v>79</v>
      </c>
      <c r="K288" s="35">
        <v>0.72900462962962964</v>
      </c>
      <c r="L288" s="35">
        <v>0.85472222222222227</v>
      </c>
      <c r="M288" s="36">
        <v>0.72900462962962964</v>
      </c>
      <c r="N288" s="35">
        <v>0.85472222222222227</v>
      </c>
      <c r="O288" s="37">
        <f>IF(N288&gt;M288,N288-M288,(N288+1)-M288)</f>
        <v>0.12571759259259263</v>
      </c>
      <c r="P288" s="29" t="s">
        <v>211</v>
      </c>
      <c r="Q288" s="29" t="s">
        <v>59</v>
      </c>
      <c r="R288" s="29" t="s">
        <v>211</v>
      </c>
      <c r="S288" s="38" t="s">
        <v>46</v>
      </c>
      <c r="T288" s="39" t="s">
        <v>73</v>
      </c>
      <c r="U288" s="39" t="s">
        <v>59</v>
      </c>
      <c r="V288" s="38" t="s">
        <v>100</v>
      </c>
      <c r="W288" s="40" t="s">
        <v>59</v>
      </c>
      <c r="X288" s="13" t="s">
        <v>59</v>
      </c>
      <c r="Y288" s="13" t="s">
        <v>59</v>
      </c>
      <c r="Z288" s="13" t="s">
        <v>59</v>
      </c>
      <c r="AA288" s="13" t="s">
        <v>59</v>
      </c>
      <c r="AB288" s="41" t="s">
        <v>59</v>
      </c>
      <c r="AC288" s="16" t="s">
        <v>59</v>
      </c>
      <c r="AD288" s="42" t="s">
        <v>59</v>
      </c>
      <c r="AE288" s="42">
        <v>58.2</v>
      </c>
      <c r="AF288" s="42">
        <v>1.5</v>
      </c>
      <c r="AG288" s="43" t="s">
        <v>59</v>
      </c>
      <c r="AH288" s="43" t="s">
        <v>59</v>
      </c>
      <c r="AI288" s="43" t="s">
        <v>59</v>
      </c>
      <c r="AJ288" s="17" t="s">
        <v>59</v>
      </c>
      <c r="AK288" s="17" t="s">
        <v>59</v>
      </c>
      <c r="AL288" s="17">
        <v>12.028</v>
      </c>
      <c r="AM288" s="17" t="s">
        <v>59</v>
      </c>
      <c r="AN288" s="17" t="s">
        <v>59</v>
      </c>
      <c r="AO288" s="44" t="s">
        <v>61</v>
      </c>
    </row>
    <row r="289" spans="1:41" ht="12" customHeight="1" x14ac:dyDescent="0.35">
      <c r="A289" s="29" t="s">
        <v>96</v>
      </c>
      <c r="B289" s="30" t="s">
        <v>194</v>
      </c>
      <c r="C289" s="29">
        <v>23</v>
      </c>
      <c r="D289" s="29" t="s">
        <v>195</v>
      </c>
      <c r="E289" s="31" t="s">
        <v>196</v>
      </c>
      <c r="F289" s="29">
        <v>1253</v>
      </c>
      <c r="G289" s="29" t="s">
        <v>59</v>
      </c>
      <c r="H289" s="32">
        <v>46101</v>
      </c>
      <c r="I289" s="33">
        <v>46101</v>
      </c>
      <c r="J289" s="34" t="s">
        <v>79</v>
      </c>
      <c r="K289" s="35">
        <v>0.37504629629629632</v>
      </c>
      <c r="L289" s="35">
        <v>0.54097222222222219</v>
      </c>
      <c r="M289" s="36">
        <v>0.41671296296296295</v>
      </c>
      <c r="N289" s="35">
        <v>0.58263888888888893</v>
      </c>
      <c r="O289" s="37">
        <f>IF(N289&gt;M289,N289-M289,(N289+1)-M289)</f>
        <v>0.16592592592592598</v>
      </c>
      <c r="P289" s="29" t="s">
        <v>197</v>
      </c>
      <c r="Q289" s="29" t="s">
        <v>197</v>
      </c>
      <c r="R289" s="29" t="s">
        <v>198</v>
      </c>
      <c r="S289" s="38" t="s">
        <v>46</v>
      </c>
      <c r="T289" s="39" t="s">
        <v>73</v>
      </c>
      <c r="U289" s="39" t="s">
        <v>59</v>
      </c>
      <c r="V289" s="38" t="s">
        <v>100</v>
      </c>
      <c r="W289" s="40" t="s">
        <v>59</v>
      </c>
      <c r="X289" s="13" t="s">
        <v>59</v>
      </c>
      <c r="Y289" s="13" t="s">
        <v>59</v>
      </c>
      <c r="Z289" s="13" t="s">
        <v>59</v>
      </c>
      <c r="AA289" s="13" t="s">
        <v>59</v>
      </c>
      <c r="AB289" s="41" t="s">
        <v>59</v>
      </c>
      <c r="AC289" s="16" t="s">
        <v>59</v>
      </c>
      <c r="AD289" s="42" t="s">
        <v>59</v>
      </c>
      <c r="AE289" s="42">
        <v>23.82</v>
      </c>
      <c r="AF289" s="42">
        <v>17.95</v>
      </c>
      <c r="AG289" s="43" t="s">
        <v>59</v>
      </c>
      <c r="AH289" s="43" t="s">
        <v>59</v>
      </c>
      <c r="AI289" s="43" t="s">
        <v>59</v>
      </c>
      <c r="AJ289" s="17" t="s">
        <v>59</v>
      </c>
      <c r="AK289" s="17" t="s">
        <v>59</v>
      </c>
      <c r="AL289" s="17">
        <v>12.06086</v>
      </c>
      <c r="AM289" s="17" t="s">
        <v>59</v>
      </c>
      <c r="AN289" s="17" t="s">
        <v>59</v>
      </c>
      <c r="AO289" s="44" t="s">
        <v>61</v>
      </c>
    </row>
    <row r="290" spans="1:41" ht="12" customHeight="1" x14ac:dyDescent="0.35">
      <c r="A290" s="29" t="s">
        <v>96</v>
      </c>
      <c r="B290" s="30" t="s">
        <v>266</v>
      </c>
      <c r="C290" s="29">
        <v>35</v>
      </c>
      <c r="D290" s="29" t="s">
        <v>267</v>
      </c>
      <c r="E290" s="31" t="s">
        <v>270</v>
      </c>
      <c r="F290" s="29">
        <v>3986</v>
      </c>
      <c r="G290" s="29" t="s">
        <v>59</v>
      </c>
      <c r="H290" s="32">
        <v>46101</v>
      </c>
      <c r="I290" s="33">
        <v>46101</v>
      </c>
      <c r="J290" s="34" t="s">
        <v>79</v>
      </c>
      <c r="K290" s="35">
        <v>0.70833333333333337</v>
      </c>
      <c r="L290" s="35">
        <v>0.85416666666666663</v>
      </c>
      <c r="M290" s="36">
        <v>0.70833333333333337</v>
      </c>
      <c r="N290" s="35">
        <v>0.85416666666666663</v>
      </c>
      <c r="O290" s="37">
        <f>IF(N290&gt;M290,N290-M290,(N290+1)-M290)</f>
        <v>0.14583333333333326</v>
      </c>
      <c r="P290" s="29" t="s">
        <v>268</v>
      </c>
      <c r="Q290" s="29" t="s">
        <v>59</v>
      </c>
      <c r="R290" s="29" t="s">
        <v>268</v>
      </c>
      <c r="S290" s="38" t="s">
        <v>46</v>
      </c>
      <c r="T290" s="39" t="s">
        <v>73</v>
      </c>
      <c r="U290" s="39" t="s">
        <v>59</v>
      </c>
      <c r="V290" s="38" t="s">
        <v>100</v>
      </c>
      <c r="W290" s="40" t="s">
        <v>59</v>
      </c>
      <c r="X290" s="13" t="s">
        <v>59</v>
      </c>
      <c r="Y290" s="13" t="s">
        <v>59</v>
      </c>
      <c r="Z290" s="13" t="s">
        <v>59</v>
      </c>
      <c r="AA290" s="13" t="s">
        <v>59</v>
      </c>
      <c r="AB290" s="41" t="s">
        <v>59</v>
      </c>
      <c r="AC290" s="16" t="s">
        <v>59</v>
      </c>
      <c r="AD290" s="42" t="s">
        <v>59</v>
      </c>
      <c r="AE290" s="42">
        <v>34</v>
      </c>
      <c r="AF290" s="42">
        <v>0</v>
      </c>
      <c r="AG290" s="43" t="s">
        <v>59</v>
      </c>
      <c r="AH290" s="43" t="s">
        <v>59</v>
      </c>
      <c r="AI290" s="43" t="s">
        <v>59</v>
      </c>
      <c r="AJ290" s="17" t="s">
        <v>59</v>
      </c>
      <c r="AK290" s="17" t="s">
        <v>59</v>
      </c>
      <c r="AL290" s="17">
        <v>12.206</v>
      </c>
      <c r="AM290" s="17" t="s">
        <v>59</v>
      </c>
      <c r="AN290" s="17" t="s">
        <v>59</v>
      </c>
      <c r="AO290" s="44" t="s">
        <v>61</v>
      </c>
    </row>
    <row r="291" spans="1:41" ht="12" customHeight="1" x14ac:dyDescent="0.35">
      <c r="A291" s="29" t="s">
        <v>96</v>
      </c>
      <c r="B291" s="30" t="s">
        <v>266</v>
      </c>
      <c r="C291" s="29">
        <v>35</v>
      </c>
      <c r="D291" s="29" t="s">
        <v>267</v>
      </c>
      <c r="E291" s="31" t="s">
        <v>269</v>
      </c>
      <c r="F291" s="29">
        <v>2134</v>
      </c>
      <c r="G291" s="29" t="s">
        <v>59</v>
      </c>
      <c r="H291" s="32">
        <v>46101</v>
      </c>
      <c r="I291" s="33">
        <v>46101</v>
      </c>
      <c r="J291" s="34" t="s">
        <v>79</v>
      </c>
      <c r="K291" s="35">
        <v>0.70833333333333337</v>
      </c>
      <c r="L291" s="35">
        <v>0.85416666666666663</v>
      </c>
      <c r="M291" s="36">
        <v>0.70833333333333337</v>
      </c>
      <c r="N291" s="35">
        <v>0.85416666666666663</v>
      </c>
      <c r="O291" s="37">
        <f>IF(N291&gt;M291,N291-M291,(N291+1)-M291)</f>
        <v>0.14583333333333326</v>
      </c>
      <c r="P291" s="29" t="s">
        <v>268</v>
      </c>
      <c r="Q291" s="29" t="s">
        <v>59</v>
      </c>
      <c r="R291" s="29" t="s">
        <v>268</v>
      </c>
      <c r="S291" s="38" t="s">
        <v>46</v>
      </c>
      <c r="T291" s="39" t="s">
        <v>73</v>
      </c>
      <c r="U291" s="39" t="s">
        <v>59</v>
      </c>
      <c r="V291" s="38" t="s">
        <v>100</v>
      </c>
      <c r="W291" s="40" t="s">
        <v>59</v>
      </c>
      <c r="X291" s="13" t="s">
        <v>59</v>
      </c>
      <c r="Y291" s="13" t="s">
        <v>59</v>
      </c>
      <c r="Z291" s="13" t="s">
        <v>59</v>
      </c>
      <c r="AA291" s="13" t="s">
        <v>59</v>
      </c>
      <c r="AB291" s="41" t="s">
        <v>59</v>
      </c>
      <c r="AC291" s="16" t="s">
        <v>59</v>
      </c>
      <c r="AD291" s="42" t="s">
        <v>59</v>
      </c>
      <c r="AE291" s="42">
        <v>34.6</v>
      </c>
      <c r="AF291" s="42">
        <v>0</v>
      </c>
      <c r="AG291" s="43" t="s">
        <v>59</v>
      </c>
      <c r="AH291" s="43" t="s">
        <v>59</v>
      </c>
      <c r="AI291" s="43" t="s">
        <v>59</v>
      </c>
      <c r="AJ291" s="17" t="s">
        <v>59</v>
      </c>
      <c r="AK291" s="17" t="s">
        <v>59</v>
      </c>
      <c r="AL291" s="17">
        <v>12.4214</v>
      </c>
      <c r="AM291" s="17" t="s">
        <v>59</v>
      </c>
      <c r="AN291" s="17" t="s">
        <v>59</v>
      </c>
      <c r="AO291" s="44" t="s">
        <v>61</v>
      </c>
    </row>
    <row r="292" spans="1:41" ht="12" customHeight="1" x14ac:dyDescent="0.35">
      <c r="A292" s="29" t="s">
        <v>96</v>
      </c>
      <c r="B292" s="30" t="s">
        <v>266</v>
      </c>
      <c r="C292" s="29">
        <v>35</v>
      </c>
      <c r="D292" s="29" t="s">
        <v>267</v>
      </c>
      <c r="E292" s="31" t="s">
        <v>269</v>
      </c>
      <c r="F292" s="29">
        <v>2134</v>
      </c>
      <c r="G292" s="29" t="s">
        <v>59</v>
      </c>
      <c r="H292" s="32">
        <v>46103</v>
      </c>
      <c r="I292" s="33">
        <v>46103</v>
      </c>
      <c r="J292" s="34" t="s">
        <v>74</v>
      </c>
      <c r="K292" s="35">
        <v>0.375</v>
      </c>
      <c r="L292" s="35">
        <v>0.53125</v>
      </c>
      <c r="M292" s="36">
        <v>0.375</v>
      </c>
      <c r="N292" s="35">
        <v>0.53125</v>
      </c>
      <c r="O292" s="37">
        <f>IF(N292&gt;M292,N292-M292,(N292+1)-M292)</f>
        <v>0.15625</v>
      </c>
      <c r="P292" s="29" t="s">
        <v>268</v>
      </c>
      <c r="Q292" s="29" t="s">
        <v>59</v>
      </c>
      <c r="R292" s="29" t="s">
        <v>268</v>
      </c>
      <c r="S292" s="38" t="s">
        <v>46</v>
      </c>
      <c r="T292" s="39" t="s">
        <v>73</v>
      </c>
      <c r="U292" s="39" t="s">
        <v>59</v>
      </c>
      <c r="V292" s="38" t="s">
        <v>107</v>
      </c>
      <c r="W292" s="40" t="s">
        <v>59</v>
      </c>
      <c r="X292" s="13" t="s">
        <v>59</v>
      </c>
      <c r="Y292" s="13" t="s">
        <v>59</v>
      </c>
      <c r="Z292" s="13" t="s">
        <v>59</v>
      </c>
      <c r="AA292" s="13" t="s">
        <v>59</v>
      </c>
      <c r="AB292" s="41" t="s">
        <v>59</v>
      </c>
      <c r="AC292" s="16" t="s">
        <v>59</v>
      </c>
      <c r="AD292" s="42" t="s">
        <v>59</v>
      </c>
      <c r="AE292" s="42">
        <v>35</v>
      </c>
      <c r="AF292" s="42">
        <v>0</v>
      </c>
      <c r="AG292" s="43" t="s">
        <v>59</v>
      </c>
      <c r="AH292" s="43" t="s">
        <v>59</v>
      </c>
      <c r="AI292" s="43" t="s">
        <v>59</v>
      </c>
      <c r="AJ292" s="17" t="s">
        <v>59</v>
      </c>
      <c r="AK292" s="17" t="s">
        <v>59</v>
      </c>
      <c r="AL292" s="17">
        <v>12.565</v>
      </c>
      <c r="AM292" s="17" t="s">
        <v>59</v>
      </c>
      <c r="AN292" s="17" t="s">
        <v>59</v>
      </c>
      <c r="AO292" s="44" t="s">
        <v>61</v>
      </c>
    </row>
    <row r="293" spans="1:41" ht="12" customHeight="1" x14ac:dyDescent="0.35">
      <c r="A293" s="29" t="s">
        <v>65</v>
      </c>
      <c r="B293" s="30" t="s">
        <v>60</v>
      </c>
      <c r="C293" s="29">
        <v>39</v>
      </c>
      <c r="D293" s="29" t="s">
        <v>66</v>
      </c>
      <c r="E293" s="31" t="s">
        <v>370</v>
      </c>
      <c r="F293" s="29">
        <v>33341</v>
      </c>
      <c r="G293" s="29" t="s">
        <v>59</v>
      </c>
      <c r="H293" s="32">
        <v>46103</v>
      </c>
      <c r="I293" s="33">
        <v>46103</v>
      </c>
      <c r="J293" s="34" t="s">
        <v>74</v>
      </c>
      <c r="K293" s="35">
        <v>0.33244212962962966</v>
      </c>
      <c r="L293" s="35">
        <v>0.56887731481481485</v>
      </c>
      <c r="M293" s="36">
        <v>0.41577546296296297</v>
      </c>
      <c r="N293" s="35">
        <v>0.65221064814814811</v>
      </c>
      <c r="O293" s="37">
        <f>IF(N293&gt;M293,N293-M293,(N293+1)-M293)</f>
        <v>0.23643518518518514</v>
      </c>
      <c r="P293" s="29" t="s">
        <v>225</v>
      </c>
      <c r="Q293" s="29" t="s">
        <v>59</v>
      </c>
      <c r="R293" s="29" t="s">
        <v>225</v>
      </c>
      <c r="S293" s="38" t="s">
        <v>46</v>
      </c>
      <c r="T293" s="39" t="s">
        <v>73</v>
      </c>
      <c r="U293" s="39" t="s">
        <v>59</v>
      </c>
      <c r="V293" s="38" t="s">
        <v>107</v>
      </c>
      <c r="W293" s="40" t="s">
        <v>59</v>
      </c>
      <c r="X293" s="13" t="s">
        <v>59</v>
      </c>
      <c r="Y293" s="13" t="s">
        <v>59</v>
      </c>
      <c r="Z293" s="13" t="s">
        <v>59</v>
      </c>
      <c r="AA293" s="13" t="s">
        <v>59</v>
      </c>
      <c r="AB293" s="41" t="s">
        <v>59</v>
      </c>
      <c r="AC293" s="16" t="s">
        <v>59</v>
      </c>
      <c r="AD293" s="42" t="s">
        <v>59</v>
      </c>
      <c r="AE293" s="42">
        <v>19</v>
      </c>
      <c r="AF293" s="42">
        <v>0.18</v>
      </c>
      <c r="AG293" s="43" t="s">
        <v>59</v>
      </c>
      <c r="AH293" s="43" t="s">
        <v>59</v>
      </c>
      <c r="AI293" s="43" t="s">
        <v>59</v>
      </c>
      <c r="AJ293" s="17" t="s">
        <v>59</v>
      </c>
      <c r="AK293" s="17" t="s">
        <v>59</v>
      </c>
      <c r="AL293" s="17">
        <v>12.666666666666666</v>
      </c>
      <c r="AM293" s="17" t="s">
        <v>59</v>
      </c>
      <c r="AN293" s="17" t="s">
        <v>59</v>
      </c>
      <c r="AO293" s="44" t="s">
        <v>61</v>
      </c>
    </row>
    <row r="294" spans="1:41" ht="12" customHeight="1" x14ac:dyDescent="0.35">
      <c r="A294" s="29" t="s">
        <v>96</v>
      </c>
      <c r="B294" s="30" t="s">
        <v>238</v>
      </c>
      <c r="C294" s="29">
        <v>6</v>
      </c>
      <c r="D294" s="29" t="s">
        <v>239</v>
      </c>
      <c r="E294" s="31" t="s">
        <v>240</v>
      </c>
      <c r="F294" s="29">
        <v>3164</v>
      </c>
      <c r="G294" s="29" t="s">
        <v>59</v>
      </c>
      <c r="H294" s="32">
        <v>46103</v>
      </c>
      <c r="I294" s="33">
        <v>46103</v>
      </c>
      <c r="J294" s="34" t="s">
        <v>74</v>
      </c>
      <c r="K294" s="35">
        <v>0.46270833333333333</v>
      </c>
      <c r="L294" s="35">
        <v>0.4728472222222222</v>
      </c>
      <c r="M294" s="36">
        <v>0.50437500000000002</v>
      </c>
      <c r="N294" s="35">
        <v>0.51451388888888894</v>
      </c>
      <c r="O294" s="37">
        <f>IF(N294&gt;M294,N294-M294,(N294+1)-M294)</f>
        <v>1.0138888888888919E-2</v>
      </c>
      <c r="P294" s="29" t="s">
        <v>241</v>
      </c>
      <c r="Q294" s="29" t="s">
        <v>248</v>
      </c>
      <c r="R294" s="29" t="s">
        <v>249</v>
      </c>
      <c r="S294" s="38" t="s">
        <v>46</v>
      </c>
      <c r="T294" s="39" t="s">
        <v>73</v>
      </c>
      <c r="U294" s="39" t="s">
        <v>59</v>
      </c>
      <c r="V294" s="38" t="s">
        <v>107</v>
      </c>
      <c r="W294" s="40" t="s">
        <v>59</v>
      </c>
      <c r="X294" s="13" t="s">
        <v>59</v>
      </c>
      <c r="Y294" s="13" t="s">
        <v>59</v>
      </c>
      <c r="Z294" s="13" t="s">
        <v>59</v>
      </c>
      <c r="AA294" s="13" t="s">
        <v>59</v>
      </c>
      <c r="AB294" s="41" t="s">
        <v>59</v>
      </c>
      <c r="AC294" s="16" t="s">
        <v>59</v>
      </c>
      <c r="AD294" s="42" t="s">
        <v>59</v>
      </c>
      <c r="AE294" s="42">
        <v>17</v>
      </c>
      <c r="AF294" s="42">
        <v>2.1</v>
      </c>
      <c r="AG294" s="43" t="s">
        <v>59</v>
      </c>
      <c r="AH294" s="43" t="s">
        <v>59</v>
      </c>
      <c r="AI294" s="43" t="s">
        <v>59</v>
      </c>
      <c r="AJ294" s="17" t="s">
        <v>59</v>
      </c>
      <c r="AK294" s="17" t="s">
        <v>59</v>
      </c>
      <c r="AL294" s="17">
        <v>13.697750000000001</v>
      </c>
      <c r="AM294" s="17" t="s">
        <v>59</v>
      </c>
      <c r="AN294" s="17" t="s">
        <v>59</v>
      </c>
      <c r="AO294" s="44" t="s">
        <v>61</v>
      </c>
    </row>
    <row r="295" spans="1:41" ht="12" customHeight="1" x14ac:dyDescent="0.35">
      <c r="A295" s="29" t="s">
        <v>96</v>
      </c>
      <c r="B295" s="30" t="s">
        <v>212</v>
      </c>
      <c r="C295" s="29">
        <v>128</v>
      </c>
      <c r="D295" s="29" t="s">
        <v>213</v>
      </c>
      <c r="E295" s="31" t="s">
        <v>214</v>
      </c>
      <c r="F295" s="29">
        <v>1160</v>
      </c>
      <c r="G295" s="29"/>
      <c r="H295" s="32">
        <v>46103</v>
      </c>
      <c r="I295" s="33">
        <v>46103</v>
      </c>
      <c r="J295" s="34" t="s">
        <v>74</v>
      </c>
      <c r="K295" s="35">
        <v>0.70083333333333331</v>
      </c>
      <c r="L295" s="35">
        <v>0.83392361111111113</v>
      </c>
      <c r="M295" s="36">
        <v>0.74250000000000005</v>
      </c>
      <c r="N295" s="35">
        <v>0.87559027777777776</v>
      </c>
      <c r="O295" s="37">
        <f>IF(N295&gt;M295,N295-M295,(N295+1)-M295)</f>
        <v>0.13309027777777771</v>
      </c>
      <c r="P295" s="29" t="s">
        <v>215</v>
      </c>
      <c r="Q295" s="29" t="s">
        <v>216</v>
      </c>
      <c r="R295" s="29" t="s">
        <v>217</v>
      </c>
      <c r="S295" s="38" t="s">
        <v>46</v>
      </c>
      <c r="T295" s="39" t="s">
        <v>73</v>
      </c>
      <c r="U295" s="39" t="s">
        <v>59</v>
      </c>
      <c r="V295" s="38" t="s">
        <v>107</v>
      </c>
      <c r="W295" s="40" t="s">
        <v>59</v>
      </c>
      <c r="X295" s="13" t="s">
        <v>59</v>
      </c>
      <c r="Y295" s="13" t="s">
        <v>59</v>
      </c>
      <c r="Z295" s="13" t="s">
        <v>59</v>
      </c>
      <c r="AA295" s="13" t="s">
        <v>59</v>
      </c>
      <c r="AB295" s="41" t="s">
        <v>59</v>
      </c>
      <c r="AC295" s="16" t="s">
        <v>59</v>
      </c>
      <c r="AD295" s="42" t="s">
        <v>59</v>
      </c>
      <c r="AE295" s="42">
        <v>74.2</v>
      </c>
      <c r="AF295" s="42">
        <v>2.52</v>
      </c>
      <c r="AG295" s="43" t="s">
        <v>59</v>
      </c>
      <c r="AH295" s="43" t="s">
        <v>59</v>
      </c>
      <c r="AI295" s="43" t="s">
        <v>59</v>
      </c>
      <c r="AJ295" s="17" t="s">
        <v>59</v>
      </c>
      <c r="AK295" s="17" t="s">
        <v>59</v>
      </c>
      <c r="AL295" s="17">
        <v>13.726665025034883</v>
      </c>
      <c r="AM295" s="17" t="s">
        <v>59</v>
      </c>
      <c r="AN295" s="17" t="s">
        <v>59</v>
      </c>
      <c r="AO295" s="44" t="s">
        <v>61</v>
      </c>
    </row>
    <row r="296" spans="1:41" ht="12" customHeight="1" x14ac:dyDescent="0.35">
      <c r="A296" s="29" t="s">
        <v>76</v>
      </c>
      <c r="B296" s="30" t="s">
        <v>62</v>
      </c>
      <c r="C296" s="29">
        <v>48</v>
      </c>
      <c r="D296" s="29" t="s">
        <v>77</v>
      </c>
      <c r="E296" s="31" t="s">
        <v>78</v>
      </c>
      <c r="F296" s="29">
        <v>5163</v>
      </c>
      <c r="G296" s="29"/>
      <c r="H296" s="32">
        <v>46103</v>
      </c>
      <c r="I296" s="33">
        <v>46104</v>
      </c>
      <c r="J296" s="34" t="s">
        <v>74</v>
      </c>
      <c r="K296" s="35">
        <v>0.68754629629629627</v>
      </c>
      <c r="L296" s="35">
        <v>0.79165509259259259</v>
      </c>
      <c r="M296" s="36">
        <v>0.14587962962962964</v>
      </c>
      <c r="N296" s="35">
        <v>0.24998842592592593</v>
      </c>
      <c r="O296" s="37">
        <f>IF(N296&gt;M296,N296-M296,(N296+1)-M296)</f>
        <v>0.1041087962962963</v>
      </c>
      <c r="P296" s="29" t="s">
        <v>83</v>
      </c>
      <c r="Q296" s="29" t="s">
        <v>94</v>
      </c>
      <c r="R296" s="29" t="s">
        <v>95</v>
      </c>
      <c r="S296" s="38" t="s">
        <v>46</v>
      </c>
      <c r="T296" s="39" t="s">
        <v>73</v>
      </c>
      <c r="U296" s="39" t="s">
        <v>59</v>
      </c>
      <c r="V296" s="38" t="s">
        <v>107</v>
      </c>
      <c r="W296" s="40" t="s">
        <v>59</v>
      </c>
      <c r="X296" s="13" t="s">
        <v>59</v>
      </c>
      <c r="Y296" s="13" t="s">
        <v>59</v>
      </c>
      <c r="Z296" s="13" t="s">
        <v>59</v>
      </c>
      <c r="AA296" s="13" t="s">
        <v>59</v>
      </c>
      <c r="AB296" s="41" t="s">
        <v>59</v>
      </c>
      <c r="AC296" s="16" t="s">
        <v>59</v>
      </c>
      <c r="AD296" s="42" t="s">
        <v>59</v>
      </c>
      <c r="AE296" s="42">
        <v>12</v>
      </c>
      <c r="AF296" s="42">
        <v>0.04</v>
      </c>
      <c r="AG296" s="43" t="s">
        <v>59</v>
      </c>
      <c r="AH296" s="43" t="s">
        <v>59</v>
      </c>
      <c r="AI296" s="43" t="s">
        <v>59</v>
      </c>
      <c r="AJ296" s="17" t="s">
        <v>59</v>
      </c>
      <c r="AK296" s="17" t="s">
        <v>59</v>
      </c>
      <c r="AL296" s="17">
        <v>14.079614076335879</v>
      </c>
      <c r="AM296" s="17" t="s">
        <v>59</v>
      </c>
      <c r="AN296" s="17" t="s">
        <v>59</v>
      </c>
      <c r="AO296" s="44" t="s">
        <v>61</v>
      </c>
    </row>
    <row r="297" spans="1:41" ht="12" customHeight="1" x14ac:dyDescent="0.35">
      <c r="A297" s="29" t="s">
        <v>96</v>
      </c>
      <c r="B297" s="30" t="s">
        <v>212</v>
      </c>
      <c r="C297" s="29">
        <v>128</v>
      </c>
      <c r="D297" s="29" t="s">
        <v>213</v>
      </c>
      <c r="E297" s="31" t="s">
        <v>222</v>
      </c>
      <c r="F297" s="29">
        <v>2427</v>
      </c>
      <c r="G297" s="29" t="s">
        <v>59</v>
      </c>
      <c r="H297" s="32">
        <v>46101</v>
      </c>
      <c r="I297" s="33">
        <v>46101</v>
      </c>
      <c r="J297" s="34" t="s">
        <v>79</v>
      </c>
      <c r="K297" s="35">
        <v>0.44079861111111113</v>
      </c>
      <c r="L297" s="35">
        <v>0.46162037037037035</v>
      </c>
      <c r="M297" s="36">
        <v>0.48246527777777776</v>
      </c>
      <c r="N297" s="35">
        <v>0.50328703703703703</v>
      </c>
      <c r="O297" s="37">
        <f>IF(N297&gt;M297,N297-M297,(N297+1)-M297)</f>
        <v>2.0821759259259276E-2</v>
      </c>
      <c r="P297" s="29" t="s">
        <v>215</v>
      </c>
      <c r="Q297" s="29" t="s">
        <v>216</v>
      </c>
      <c r="R297" s="29" t="s">
        <v>217</v>
      </c>
      <c r="S297" s="38" t="s">
        <v>46</v>
      </c>
      <c r="T297" s="39" t="s">
        <v>73</v>
      </c>
      <c r="U297" s="39" t="s">
        <v>59</v>
      </c>
      <c r="V297" s="38" t="s">
        <v>100</v>
      </c>
      <c r="W297" s="40" t="s">
        <v>59</v>
      </c>
      <c r="X297" s="13" t="s">
        <v>59</v>
      </c>
      <c r="Y297" s="13" t="s">
        <v>59</v>
      </c>
      <c r="Z297" s="13" t="s">
        <v>59</v>
      </c>
      <c r="AA297" s="13" t="s">
        <v>59</v>
      </c>
      <c r="AB297" s="41" t="s">
        <v>59</v>
      </c>
      <c r="AC297" s="16" t="s">
        <v>59</v>
      </c>
      <c r="AD297" s="42" t="s">
        <v>59</v>
      </c>
      <c r="AE297" s="42">
        <v>116.6</v>
      </c>
      <c r="AF297" s="42">
        <v>9.35</v>
      </c>
      <c r="AG297" s="43" t="s">
        <v>59</v>
      </c>
      <c r="AH297" s="43" t="s">
        <v>59</v>
      </c>
      <c r="AI297" s="43" t="s">
        <v>59</v>
      </c>
      <c r="AJ297" s="17" t="s">
        <v>59</v>
      </c>
      <c r="AK297" s="17" t="s">
        <v>59</v>
      </c>
      <c r="AL297" s="17">
        <v>14.137715882179474</v>
      </c>
      <c r="AM297" s="17" t="s">
        <v>59</v>
      </c>
      <c r="AN297" s="17" t="s">
        <v>59</v>
      </c>
      <c r="AO297" s="44" t="s">
        <v>61</v>
      </c>
    </row>
    <row r="298" spans="1:41" ht="12" customHeight="1" x14ac:dyDescent="0.35">
      <c r="A298" s="29" t="s">
        <v>96</v>
      </c>
      <c r="B298" s="30" t="s">
        <v>208</v>
      </c>
      <c r="C298" s="29">
        <v>25</v>
      </c>
      <c r="D298" s="29" t="s">
        <v>209</v>
      </c>
      <c r="E298" s="31" t="s">
        <v>210</v>
      </c>
      <c r="F298" s="29">
        <v>1109</v>
      </c>
      <c r="G298" s="29" t="s">
        <v>59</v>
      </c>
      <c r="H298" s="32">
        <v>46102</v>
      </c>
      <c r="I298" s="33">
        <v>46102</v>
      </c>
      <c r="J298" s="34" t="s">
        <v>71</v>
      </c>
      <c r="K298" s="35">
        <v>0.37483796296296296</v>
      </c>
      <c r="L298" s="35">
        <v>0.54222222222222227</v>
      </c>
      <c r="M298" s="36">
        <v>0.37483796296296296</v>
      </c>
      <c r="N298" s="35">
        <v>0.54222222222222227</v>
      </c>
      <c r="O298" s="37">
        <f>IF(N298&gt;M298,N298-M298,(N298+1)-M298)</f>
        <v>0.16738425925925932</v>
      </c>
      <c r="P298" s="29" t="s">
        <v>211</v>
      </c>
      <c r="Q298" s="29" t="s">
        <v>59</v>
      </c>
      <c r="R298" s="29" t="s">
        <v>211</v>
      </c>
      <c r="S298" s="38" t="s">
        <v>46</v>
      </c>
      <c r="T298" s="39" t="s">
        <v>73</v>
      </c>
      <c r="U298" s="39" t="s">
        <v>59</v>
      </c>
      <c r="V298" s="38" t="s">
        <v>104</v>
      </c>
      <c r="W298" s="40" t="s">
        <v>59</v>
      </c>
      <c r="X298" s="13" t="s">
        <v>59</v>
      </c>
      <c r="Y298" s="13" t="s">
        <v>59</v>
      </c>
      <c r="Z298" s="13" t="s">
        <v>59</v>
      </c>
      <c r="AA298" s="13" t="s">
        <v>59</v>
      </c>
      <c r="AB298" s="41" t="s">
        <v>59</v>
      </c>
      <c r="AC298" s="16" t="s">
        <v>59</v>
      </c>
      <c r="AD298" s="42" t="s">
        <v>59</v>
      </c>
      <c r="AE298" s="42">
        <v>32.5</v>
      </c>
      <c r="AF298" s="42">
        <v>1.6</v>
      </c>
      <c r="AG298" s="43" t="s">
        <v>59</v>
      </c>
      <c r="AH298" s="43" t="s">
        <v>59</v>
      </c>
      <c r="AI298" s="43" t="s">
        <v>59</v>
      </c>
      <c r="AJ298" s="17" t="s">
        <v>59</v>
      </c>
      <c r="AK298" s="17" t="s">
        <v>59</v>
      </c>
      <c r="AL298" s="17">
        <v>14.433599999999998</v>
      </c>
      <c r="AM298" s="17" t="s">
        <v>59</v>
      </c>
      <c r="AN298" s="17" t="s">
        <v>59</v>
      </c>
      <c r="AO298" s="44" t="s">
        <v>61</v>
      </c>
    </row>
    <row r="299" spans="1:41" ht="12" customHeight="1" x14ac:dyDescent="0.35">
      <c r="A299" s="29" t="s">
        <v>96</v>
      </c>
      <c r="B299" s="30" t="s">
        <v>208</v>
      </c>
      <c r="C299" s="29">
        <v>25</v>
      </c>
      <c r="D299" s="29" t="s">
        <v>209</v>
      </c>
      <c r="E299" s="31" t="s">
        <v>210</v>
      </c>
      <c r="F299" s="29">
        <v>1109</v>
      </c>
      <c r="G299" s="29" t="s">
        <v>59</v>
      </c>
      <c r="H299" s="32">
        <v>46102</v>
      </c>
      <c r="I299" s="33">
        <v>46102</v>
      </c>
      <c r="J299" s="34" t="s">
        <v>71</v>
      </c>
      <c r="K299" s="35">
        <v>0.72711805555555553</v>
      </c>
      <c r="L299" s="35">
        <v>0.85187500000000005</v>
      </c>
      <c r="M299" s="36">
        <v>0.72711805555555553</v>
      </c>
      <c r="N299" s="35">
        <v>0.85187500000000005</v>
      </c>
      <c r="O299" s="37">
        <f>IF(N299&gt;M299,N299-M299,(N299+1)-M299)</f>
        <v>0.12475694444444452</v>
      </c>
      <c r="P299" s="29" t="s">
        <v>211</v>
      </c>
      <c r="Q299" s="29" t="s">
        <v>59</v>
      </c>
      <c r="R299" s="29" t="s">
        <v>211</v>
      </c>
      <c r="S299" s="38" t="s">
        <v>46</v>
      </c>
      <c r="T299" s="39" t="s">
        <v>73</v>
      </c>
      <c r="U299" s="39" t="s">
        <v>59</v>
      </c>
      <c r="V299" s="38" t="s">
        <v>104</v>
      </c>
      <c r="W299" s="40" t="s">
        <v>59</v>
      </c>
      <c r="X299" s="13" t="s">
        <v>59</v>
      </c>
      <c r="Y299" s="13" t="s">
        <v>59</v>
      </c>
      <c r="Z299" s="13" t="s">
        <v>59</v>
      </c>
      <c r="AA299" s="13" t="s">
        <v>59</v>
      </c>
      <c r="AB299" s="41" t="s">
        <v>59</v>
      </c>
      <c r="AC299" s="16" t="s">
        <v>59</v>
      </c>
      <c r="AD299" s="42" t="s">
        <v>59</v>
      </c>
      <c r="AE299" s="42">
        <v>49</v>
      </c>
      <c r="AF299" s="42">
        <v>1.2</v>
      </c>
      <c r="AG299" s="43" t="s">
        <v>59</v>
      </c>
      <c r="AH299" s="43" t="s">
        <v>59</v>
      </c>
      <c r="AI299" s="43" t="s">
        <v>59</v>
      </c>
      <c r="AJ299" s="17" t="s">
        <v>59</v>
      </c>
      <c r="AK299" s="17" t="s">
        <v>59</v>
      </c>
      <c r="AL299" s="17">
        <v>14.433599999999998</v>
      </c>
      <c r="AM299" s="17" t="s">
        <v>59</v>
      </c>
      <c r="AN299" s="17" t="s">
        <v>59</v>
      </c>
      <c r="AO299" s="44" t="s">
        <v>61</v>
      </c>
    </row>
    <row r="300" spans="1:41" ht="12" customHeight="1" x14ac:dyDescent="0.35">
      <c r="A300" s="29" t="s">
        <v>96</v>
      </c>
      <c r="B300" s="30" t="s">
        <v>208</v>
      </c>
      <c r="C300" s="29">
        <v>25</v>
      </c>
      <c r="D300" s="29" t="s">
        <v>209</v>
      </c>
      <c r="E300" s="31" t="s">
        <v>210</v>
      </c>
      <c r="F300" s="29">
        <v>1109</v>
      </c>
      <c r="G300" s="29" t="s">
        <v>59</v>
      </c>
      <c r="H300" s="32">
        <v>46103</v>
      </c>
      <c r="I300" s="33">
        <v>46103</v>
      </c>
      <c r="J300" s="34" t="s">
        <v>74</v>
      </c>
      <c r="K300" s="35">
        <v>0.37484953703703705</v>
      </c>
      <c r="L300" s="35">
        <v>0.54202546296296295</v>
      </c>
      <c r="M300" s="36">
        <v>0.37484953703703705</v>
      </c>
      <c r="N300" s="35">
        <v>0.54202546296296295</v>
      </c>
      <c r="O300" s="37">
        <f>IF(N300&gt;M300,N300-M300,(N300+1)-M300)</f>
        <v>0.16717592592592589</v>
      </c>
      <c r="P300" s="29" t="s">
        <v>211</v>
      </c>
      <c r="Q300" s="29" t="s">
        <v>59</v>
      </c>
      <c r="R300" s="29" t="s">
        <v>211</v>
      </c>
      <c r="S300" s="38" t="s">
        <v>46</v>
      </c>
      <c r="T300" s="39" t="s">
        <v>73</v>
      </c>
      <c r="U300" s="39" t="s">
        <v>59</v>
      </c>
      <c r="V300" s="38" t="s">
        <v>107</v>
      </c>
      <c r="W300" s="40" t="s">
        <v>59</v>
      </c>
      <c r="X300" s="13" t="s">
        <v>59</v>
      </c>
      <c r="Y300" s="13" t="s">
        <v>59</v>
      </c>
      <c r="Z300" s="13" t="s">
        <v>59</v>
      </c>
      <c r="AA300" s="13" t="s">
        <v>59</v>
      </c>
      <c r="AB300" s="41" t="s">
        <v>59</v>
      </c>
      <c r="AC300" s="16" t="s">
        <v>59</v>
      </c>
      <c r="AD300" s="42" t="s">
        <v>59</v>
      </c>
      <c r="AE300" s="42">
        <v>70.5</v>
      </c>
      <c r="AF300" s="42">
        <v>3.1</v>
      </c>
      <c r="AG300" s="43" t="s">
        <v>59</v>
      </c>
      <c r="AH300" s="43" t="s">
        <v>59</v>
      </c>
      <c r="AI300" s="43" t="s">
        <v>59</v>
      </c>
      <c r="AJ300" s="17" t="s">
        <v>59</v>
      </c>
      <c r="AK300" s="17" t="s">
        <v>59</v>
      </c>
      <c r="AL300" s="17">
        <v>14.433599999999998</v>
      </c>
      <c r="AM300" s="17" t="s">
        <v>59</v>
      </c>
      <c r="AN300" s="17" t="s">
        <v>59</v>
      </c>
      <c r="AO300" s="44" t="s">
        <v>61</v>
      </c>
    </row>
    <row r="301" spans="1:41" ht="12" customHeight="1" x14ac:dyDescent="0.35">
      <c r="A301" s="29" t="s">
        <v>65</v>
      </c>
      <c r="B301" s="30" t="s">
        <v>60</v>
      </c>
      <c r="C301" s="29">
        <v>39</v>
      </c>
      <c r="D301" s="29" t="s">
        <v>66</v>
      </c>
      <c r="E301" s="31" t="s">
        <v>371</v>
      </c>
      <c r="F301" s="29">
        <v>33342</v>
      </c>
      <c r="G301" s="29" t="s">
        <v>59</v>
      </c>
      <c r="H301" s="32">
        <v>46105</v>
      </c>
      <c r="I301" s="33">
        <v>46105</v>
      </c>
      <c r="J301" s="34" t="s">
        <v>99</v>
      </c>
      <c r="K301" s="35">
        <v>0.60415509259259259</v>
      </c>
      <c r="L301" s="35">
        <v>0.64587962962962964</v>
      </c>
      <c r="M301" s="36">
        <v>0.68748842592592596</v>
      </c>
      <c r="N301" s="35">
        <v>0.72921296296296301</v>
      </c>
      <c r="O301" s="37">
        <f>IF(N301&gt;M301,N301-M301,(N301+1)-M301)</f>
        <v>4.1724537037037046E-2</v>
      </c>
      <c r="P301" s="29" t="s">
        <v>223</v>
      </c>
      <c r="Q301" s="29" t="s">
        <v>59</v>
      </c>
      <c r="R301" s="29" t="s">
        <v>223</v>
      </c>
      <c r="S301" s="38" t="s">
        <v>48</v>
      </c>
      <c r="T301" s="39" t="s">
        <v>73</v>
      </c>
      <c r="U301" s="39" t="s">
        <v>59</v>
      </c>
      <c r="V301" s="38" t="s">
        <v>107</v>
      </c>
      <c r="W301" s="40" t="s">
        <v>59</v>
      </c>
      <c r="X301" s="13" t="s">
        <v>59</v>
      </c>
      <c r="Y301" s="13" t="s">
        <v>59</v>
      </c>
      <c r="Z301" s="13" t="s">
        <v>59</v>
      </c>
      <c r="AA301" s="13" t="s">
        <v>59</v>
      </c>
      <c r="AB301" s="41" t="s">
        <v>59</v>
      </c>
      <c r="AC301" s="16" t="s">
        <v>59</v>
      </c>
      <c r="AD301" s="42" t="s">
        <v>59</v>
      </c>
      <c r="AE301" s="42">
        <v>22.1</v>
      </c>
      <c r="AF301" s="42">
        <v>0.2</v>
      </c>
      <c r="AG301" s="43" t="s">
        <v>59</v>
      </c>
      <c r="AH301" s="43" t="s">
        <v>59</v>
      </c>
      <c r="AI301" s="43" t="s">
        <v>59</v>
      </c>
      <c r="AJ301" s="17" t="s">
        <v>59</v>
      </c>
      <c r="AK301" s="17" t="s">
        <v>59</v>
      </c>
      <c r="AL301" s="17">
        <v>14.733333333333333</v>
      </c>
      <c r="AM301" s="17" t="s">
        <v>59</v>
      </c>
      <c r="AN301" s="17" t="s">
        <v>59</v>
      </c>
      <c r="AO301" s="44" t="s">
        <v>61</v>
      </c>
    </row>
    <row r="302" spans="1:41" ht="12" customHeight="1" x14ac:dyDescent="0.35">
      <c r="A302" s="29" t="s">
        <v>96</v>
      </c>
      <c r="B302" s="30" t="s">
        <v>169</v>
      </c>
      <c r="C302" s="29">
        <v>18</v>
      </c>
      <c r="D302" s="29" t="s">
        <v>170</v>
      </c>
      <c r="E302" s="31" t="s">
        <v>171</v>
      </c>
      <c r="F302" s="29">
        <v>6812</v>
      </c>
      <c r="G302" s="29" t="s">
        <v>59</v>
      </c>
      <c r="H302" s="32">
        <v>46104</v>
      </c>
      <c r="I302" s="33">
        <v>46104</v>
      </c>
      <c r="J302" s="34" t="s">
        <v>67</v>
      </c>
      <c r="K302" s="35">
        <v>0.76111111111111107</v>
      </c>
      <c r="L302" s="35">
        <v>0.8396527777777778</v>
      </c>
      <c r="M302" s="36">
        <v>0.80277777777777781</v>
      </c>
      <c r="N302" s="35">
        <v>0.88131944444444443</v>
      </c>
      <c r="O302" s="37">
        <f>IF(N302&gt;M302,N302-M302,(N302+1)-M302)</f>
        <v>7.8541666666666621E-2</v>
      </c>
      <c r="P302" s="29" t="s">
        <v>172</v>
      </c>
      <c r="Q302" s="29" t="s">
        <v>173</v>
      </c>
      <c r="R302" s="29" t="s">
        <v>174</v>
      </c>
      <c r="S302" s="38" t="s">
        <v>48</v>
      </c>
      <c r="T302" s="39" t="s">
        <v>73</v>
      </c>
      <c r="U302" s="39" t="s">
        <v>59</v>
      </c>
      <c r="V302" s="38" t="s">
        <v>107</v>
      </c>
      <c r="W302" s="40" t="s">
        <v>59</v>
      </c>
      <c r="X302" s="13" t="s">
        <v>59</v>
      </c>
      <c r="Y302" s="13" t="s">
        <v>59</v>
      </c>
      <c r="Z302" s="13" t="s">
        <v>59</v>
      </c>
      <c r="AA302" s="13" t="s">
        <v>59</v>
      </c>
      <c r="AB302" s="41" t="s">
        <v>59</v>
      </c>
      <c r="AC302" s="16" t="s">
        <v>59</v>
      </c>
      <c r="AD302" s="42" t="s">
        <v>59</v>
      </c>
      <c r="AE302" s="42">
        <v>32.700000000000003</v>
      </c>
      <c r="AF302" s="42">
        <v>0.84</v>
      </c>
      <c r="AG302" s="43" t="s">
        <v>59</v>
      </c>
      <c r="AH302" s="43" t="s">
        <v>59</v>
      </c>
      <c r="AI302" s="43" t="s">
        <v>59</v>
      </c>
      <c r="AJ302" s="17" t="s">
        <v>59</v>
      </c>
      <c r="AK302" s="17" t="s">
        <v>59</v>
      </c>
      <c r="AL302" s="17">
        <v>15.017298490675069</v>
      </c>
      <c r="AM302" s="17" t="s">
        <v>59</v>
      </c>
      <c r="AN302" s="17" t="s">
        <v>59</v>
      </c>
      <c r="AO302" s="44" t="s">
        <v>61</v>
      </c>
    </row>
    <row r="303" spans="1:41" ht="12" customHeight="1" x14ac:dyDescent="0.35">
      <c r="A303" s="29" t="s">
        <v>96</v>
      </c>
      <c r="B303" s="30" t="s">
        <v>194</v>
      </c>
      <c r="C303" s="29">
        <v>23</v>
      </c>
      <c r="D303" s="29" t="s">
        <v>195</v>
      </c>
      <c r="E303" s="31" t="s">
        <v>196</v>
      </c>
      <c r="F303" s="29">
        <v>1253</v>
      </c>
      <c r="G303" s="29" t="s">
        <v>59</v>
      </c>
      <c r="H303" s="32">
        <v>46103</v>
      </c>
      <c r="I303" s="33">
        <v>46103</v>
      </c>
      <c r="J303" s="34" t="s">
        <v>74</v>
      </c>
      <c r="K303" s="35">
        <v>0.41695601851851855</v>
      </c>
      <c r="L303" s="35">
        <v>0.54467592592592595</v>
      </c>
      <c r="M303" s="36">
        <v>0.45862268518518517</v>
      </c>
      <c r="N303" s="35">
        <v>0.58634259259259258</v>
      </c>
      <c r="O303" s="37">
        <f>IF(N303&gt;M303,N303-M303,(N303+1)-M303)</f>
        <v>0.12771990740740741</v>
      </c>
      <c r="P303" s="29" t="s">
        <v>197</v>
      </c>
      <c r="Q303" s="29" t="s">
        <v>197</v>
      </c>
      <c r="R303" s="29" t="s">
        <v>198</v>
      </c>
      <c r="S303" s="38" t="s">
        <v>46</v>
      </c>
      <c r="T303" s="39" t="s">
        <v>73</v>
      </c>
      <c r="U303" s="39" t="s">
        <v>59</v>
      </c>
      <c r="V303" s="38" t="s">
        <v>107</v>
      </c>
      <c r="W303" s="40" t="s">
        <v>59</v>
      </c>
      <c r="X303" s="13" t="s">
        <v>59</v>
      </c>
      <c r="Y303" s="13" t="s">
        <v>59</v>
      </c>
      <c r="Z303" s="13" t="s">
        <v>59</v>
      </c>
      <c r="AA303" s="13" t="s">
        <v>59</v>
      </c>
      <c r="AB303" s="41" t="s">
        <v>59</v>
      </c>
      <c r="AC303" s="16" t="s">
        <v>59</v>
      </c>
      <c r="AD303" s="42" t="s">
        <v>59</v>
      </c>
      <c r="AE303" s="42">
        <v>30.6</v>
      </c>
      <c r="AF303" s="42">
        <v>11.99</v>
      </c>
      <c r="AG303" s="43" t="s">
        <v>59</v>
      </c>
      <c r="AH303" s="43" t="s">
        <v>59</v>
      </c>
      <c r="AI303" s="43" t="s">
        <v>59</v>
      </c>
      <c r="AJ303" s="17" t="s">
        <v>59</v>
      </c>
      <c r="AK303" s="17" t="s">
        <v>59</v>
      </c>
      <c r="AL303" s="17">
        <v>15.4938</v>
      </c>
      <c r="AM303" s="17" t="s">
        <v>59</v>
      </c>
      <c r="AN303" s="17" t="s">
        <v>59</v>
      </c>
      <c r="AO303" s="44" t="s">
        <v>61</v>
      </c>
    </row>
    <row r="304" spans="1:41" ht="12" customHeight="1" x14ac:dyDescent="0.35">
      <c r="A304" s="29" t="s">
        <v>96</v>
      </c>
      <c r="B304" s="30" t="s">
        <v>64</v>
      </c>
      <c r="C304" s="29">
        <v>19</v>
      </c>
      <c r="D304" s="29" t="s">
        <v>177</v>
      </c>
      <c r="E304" s="31" t="s">
        <v>178</v>
      </c>
      <c r="F304" s="29">
        <v>2925</v>
      </c>
      <c r="G304" s="29" t="s">
        <v>59</v>
      </c>
      <c r="H304" s="32">
        <v>46103</v>
      </c>
      <c r="I304" s="33">
        <v>46103</v>
      </c>
      <c r="J304" s="34" t="s">
        <v>74</v>
      </c>
      <c r="K304" s="35">
        <v>2.2951388888888889E-2</v>
      </c>
      <c r="L304" s="35">
        <v>4.1655092592592591E-2</v>
      </c>
      <c r="M304" s="36">
        <v>6.4618055555555554E-2</v>
      </c>
      <c r="N304" s="35">
        <v>8.3321759259259262E-2</v>
      </c>
      <c r="O304" s="37">
        <f>IF(N304&gt;M304,N304-M304,(N304+1)-M304)</f>
        <v>1.8703703703703708E-2</v>
      </c>
      <c r="P304" s="29" t="s">
        <v>179</v>
      </c>
      <c r="Q304" s="29" t="s">
        <v>182</v>
      </c>
      <c r="R304" s="29" t="s">
        <v>183</v>
      </c>
      <c r="S304" s="38" t="s">
        <v>49</v>
      </c>
      <c r="T304" s="39" t="s">
        <v>73</v>
      </c>
      <c r="U304" s="39" t="s">
        <v>59</v>
      </c>
      <c r="V304" s="38" t="s">
        <v>104</v>
      </c>
      <c r="W304" s="40" t="s">
        <v>59</v>
      </c>
      <c r="X304" s="13" t="s">
        <v>59</v>
      </c>
      <c r="Y304" s="13" t="s">
        <v>59</v>
      </c>
      <c r="Z304" s="13" t="s">
        <v>59</v>
      </c>
      <c r="AA304" s="13" t="s">
        <v>59</v>
      </c>
      <c r="AB304" s="41" t="s">
        <v>59</v>
      </c>
      <c r="AC304" s="16" t="s">
        <v>59</v>
      </c>
      <c r="AD304" s="42" t="s">
        <v>59</v>
      </c>
      <c r="AE304" s="42">
        <v>31.2</v>
      </c>
      <c r="AF304" s="42">
        <v>0.96</v>
      </c>
      <c r="AG304" s="43" t="s">
        <v>59</v>
      </c>
      <c r="AH304" s="43" t="s">
        <v>59</v>
      </c>
      <c r="AI304" s="43" t="s">
        <v>59</v>
      </c>
      <c r="AJ304" s="17" t="s">
        <v>59</v>
      </c>
      <c r="AK304" s="17" t="s">
        <v>59</v>
      </c>
      <c r="AL304" s="17">
        <v>15.503326667527569</v>
      </c>
      <c r="AM304" s="17" t="s">
        <v>59</v>
      </c>
      <c r="AN304" s="17" t="s">
        <v>59</v>
      </c>
      <c r="AO304" s="44" t="s">
        <v>61</v>
      </c>
    </row>
    <row r="305" spans="1:41" ht="12" customHeight="1" x14ac:dyDescent="0.35">
      <c r="A305" s="29" t="s">
        <v>96</v>
      </c>
      <c r="B305" s="30" t="s">
        <v>63</v>
      </c>
      <c r="C305" s="29">
        <v>20</v>
      </c>
      <c r="D305" s="29" t="s">
        <v>175</v>
      </c>
      <c r="E305" s="31" t="s">
        <v>176</v>
      </c>
      <c r="F305" s="29">
        <v>21659</v>
      </c>
      <c r="G305" s="29" t="s">
        <v>59</v>
      </c>
      <c r="H305" s="32">
        <v>46101</v>
      </c>
      <c r="I305" s="33">
        <v>46101</v>
      </c>
      <c r="J305" s="34" t="s">
        <v>79</v>
      </c>
      <c r="K305" s="35">
        <v>0.70833333333333337</v>
      </c>
      <c r="L305" s="35">
        <v>0.81041666666666667</v>
      </c>
      <c r="M305" s="36">
        <v>0.70833333333333337</v>
      </c>
      <c r="N305" s="35">
        <v>0.81041666666666667</v>
      </c>
      <c r="O305" s="37">
        <f>IF(N305&gt;M305,N305-M305,(N305+1)-M305)</f>
        <v>0.1020833333333333</v>
      </c>
      <c r="P305" s="29" t="s">
        <v>131</v>
      </c>
      <c r="Q305" s="29" t="s">
        <v>59</v>
      </c>
      <c r="R305" s="29" t="s">
        <v>131</v>
      </c>
      <c r="S305" s="38" t="s">
        <v>46</v>
      </c>
      <c r="T305" s="39" t="s">
        <v>73</v>
      </c>
      <c r="U305" s="39" t="s">
        <v>59</v>
      </c>
      <c r="V305" s="38" t="s">
        <v>100</v>
      </c>
      <c r="W305" s="40" t="s">
        <v>59</v>
      </c>
      <c r="X305" s="13" t="s">
        <v>59</v>
      </c>
      <c r="Y305" s="13" t="s">
        <v>59</v>
      </c>
      <c r="Z305" s="13" t="s">
        <v>59</v>
      </c>
      <c r="AA305" s="13" t="s">
        <v>59</v>
      </c>
      <c r="AB305" s="41" t="s">
        <v>59</v>
      </c>
      <c r="AC305" s="16" t="s">
        <v>59</v>
      </c>
      <c r="AD305" s="42" t="s">
        <v>59</v>
      </c>
      <c r="AE305" s="42">
        <v>54.9</v>
      </c>
      <c r="AF305" s="42">
        <v>8.07</v>
      </c>
      <c r="AG305" s="43" t="s">
        <v>59</v>
      </c>
      <c r="AH305" s="43" t="s">
        <v>59</v>
      </c>
      <c r="AI305" s="43" t="s">
        <v>59</v>
      </c>
      <c r="AJ305" s="17" t="s">
        <v>59</v>
      </c>
      <c r="AK305" s="17" t="s">
        <v>59</v>
      </c>
      <c r="AL305" s="17">
        <v>15.920999999999998</v>
      </c>
      <c r="AM305" s="17" t="s">
        <v>59</v>
      </c>
      <c r="AN305" s="17" t="s">
        <v>59</v>
      </c>
      <c r="AO305" s="44" t="s">
        <v>61</v>
      </c>
    </row>
    <row r="306" spans="1:41" ht="12" customHeight="1" x14ac:dyDescent="0.35">
      <c r="A306" s="29" t="s">
        <v>96</v>
      </c>
      <c r="B306" s="30" t="s">
        <v>238</v>
      </c>
      <c r="C306" s="29">
        <v>6</v>
      </c>
      <c r="D306" s="29" t="s">
        <v>239</v>
      </c>
      <c r="E306" s="31" t="s">
        <v>250</v>
      </c>
      <c r="F306" s="29">
        <v>4512</v>
      </c>
      <c r="G306" s="29" t="s">
        <v>59</v>
      </c>
      <c r="H306" s="32">
        <v>46101</v>
      </c>
      <c r="I306" s="33">
        <v>46101</v>
      </c>
      <c r="J306" s="34" t="s">
        <v>79</v>
      </c>
      <c r="K306" s="35">
        <v>0.72912037037037036</v>
      </c>
      <c r="L306" s="35">
        <v>0.73013888888888889</v>
      </c>
      <c r="M306" s="36">
        <v>0.77078703703703699</v>
      </c>
      <c r="N306" s="35">
        <v>0.77180555555555552</v>
      </c>
      <c r="O306" s="37">
        <f>IF(N306&gt;M306,N306-M306,(N306+1)-M306)</f>
        <v>1.0185185185185297E-3</v>
      </c>
      <c r="P306" s="29" t="s">
        <v>251</v>
      </c>
      <c r="Q306" s="29" t="s">
        <v>252</v>
      </c>
      <c r="R306" s="29" t="s">
        <v>253</v>
      </c>
      <c r="S306" s="38" t="s">
        <v>46</v>
      </c>
      <c r="T306" s="39" t="s">
        <v>73</v>
      </c>
      <c r="U306" s="39" t="s">
        <v>59</v>
      </c>
      <c r="V306" s="38" t="s">
        <v>100</v>
      </c>
      <c r="W306" s="40" t="s">
        <v>59</v>
      </c>
      <c r="X306" s="13" t="s">
        <v>59</v>
      </c>
      <c r="Y306" s="13" t="s">
        <v>59</v>
      </c>
      <c r="Z306" s="13" t="s">
        <v>59</v>
      </c>
      <c r="AA306" s="13" t="s">
        <v>59</v>
      </c>
      <c r="AB306" s="41" t="s">
        <v>59</v>
      </c>
      <c r="AC306" s="16" t="s">
        <v>59</v>
      </c>
      <c r="AD306" s="42" t="s">
        <v>59</v>
      </c>
      <c r="AE306" s="42">
        <v>18.2</v>
      </c>
      <c r="AF306" s="42">
        <v>2.1</v>
      </c>
      <c r="AG306" s="43" t="s">
        <v>59</v>
      </c>
      <c r="AH306" s="43" t="s">
        <v>59</v>
      </c>
      <c r="AI306" s="43" t="s">
        <v>59</v>
      </c>
      <c r="AJ306" s="17" t="s">
        <v>59</v>
      </c>
      <c r="AK306" s="17" t="s">
        <v>59</v>
      </c>
      <c r="AL306" s="17">
        <v>15.941177777777774</v>
      </c>
      <c r="AM306" s="17" t="s">
        <v>59</v>
      </c>
      <c r="AN306" s="17" t="s">
        <v>59</v>
      </c>
      <c r="AO306" s="44" t="s">
        <v>61</v>
      </c>
    </row>
    <row r="307" spans="1:41" ht="12" customHeight="1" x14ac:dyDescent="0.35">
      <c r="A307" s="29" t="s">
        <v>76</v>
      </c>
      <c r="B307" s="30" t="s">
        <v>62</v>
      </c>
      <c r="C307" s="29">
        <v>48</v>
      </c>
      <c r="D307" s="29" t="s">
        <v>77</v>
      </c>
      <c r="E307" s="31" t="s">
        <v>78</v>
      </c>
      <c r="F307" s="29">
        <v>5163</v>
      </c>
      <c r="G307" s="29"/>
      <c r="H307" s="32">
        <v>46101</v>
      </c>
      <c r="I307" s="33">
        <v>46102</v>
      </c>
      <c r="J307" s="34" t="s">
        <v>79</v>
      </c>
      <c r="K307" s="35">
        <v>0.70902777777777781</v>
      </c>
      <c r="L307" s="35">
        <v>0.79165509259259259</v>
      </c>
      <c r="M307" s="36">
        <v>0.1673611111111111</v>
      </c>
      <c r="N307" s="35">
        <v>0.24998842592592593</v>
      </c>
      <c r="O307" s="37">
        <f>IF(N307&gt;M307,N307-M307,(N307+1)-M307)</f>
        <v>8.2627314814814834E-2</v>
      </c>
      <c r="P307" s="29" t="s">
        <v>83</v>
      </c>
      <c r="Q307" s="29" t="s">
        <v>84</v>
      </c>
      <c r="R307" s="29" t="s">
        <v>85</v>
      </c>
      <c r="S307" s="38" t="s">
        <v>46</v>
      </c>
      <c r="T307" s="39" t="s">
        <v>73</v>
      </c>
      <c r="U307" s="39" t="s">
        <v>59</v>
      </c>
      <c r="V307" s="38" t="s">
        <v>100</v>
      </c>
      <c r="W307" s="40" t="s">
        <v>59</v>
      </c>
      <c r="X307" s="13" t="s">
        <v>59</v>
      </c>
      <c r="Y307" s="13" t="s">
        <v>59</v>
      </c>
      <c r="Z307" s="13" t="s">
        <v>59</v>
      </c>
      <c r="AA307" s="13" t="s">
        <v>59</v>
      </c>
      <c r="AB307" s="41" t="s">
        <v>59</v>
      </c>
      <c r="AC307" s="16" t="s">
        <v>59</v>
      </c>
      <c r="AD307" s="42" t="s">
        <v>59</v>
      </c>
      <c r="AE307" s="42">
        <v>12</v>
      </c>
      <c r="AF307" s="42">
        <v>0.04</v>
      </c>
      <c r="AG307" s="43" t="s">
        <v>59</v>
      </c>
      <c r="AH307" s="43" t="s">
        <v>59</v>
      </c>
      <c r="AI307" s="43" t="s">
        <v>59</v>
      </c>
      <c r="AJ307" s="17" t="s">
        <v>59</v>
      </c>
      <c r="AK307" s="17" t="s">
        <v>59</v>
      </c>
      <c r="AL307" s="17">
        <v>16.895536891603054</v>
      </c>
      <c r="AM307" s="17" t="s">
        <v>59</v>
      </c>
      <c r="AN307" s="17" t="s">
        <v>59</v>
      </c>
      <c r="AO307" s="44" t="s">
        <v>61</v>
      </c>
    </row>
    <row r="308" spans="1:41" ht="12" customHeight="1" x14ac:dyDescent="0.35">
      <c r="A308" s="29" t="s">
        <v>76</v>
      </c>
      <c r="B308" s="30" t="s">
        <v>62</v>
      </c>
      <c r="C308" s="29">
        <v>48</v>
      </c>
      <c r="D308" s="29" t="s">
        <v>77</v>
      </c>
      <c r="E308" s="31" t="s">
        <v>78</v>
      </c>
      <c r="F308" s="29">
        <v>5163</v>
      </c>
      <c r="G308" s="29" t="s">
        <v>59</v>
      </c>
      <c r="H308" s="32">
        <v>46101</v>
      </c>
      <c r="I308" s="33">
        <v>46102</v>
      </c>
      <c r="J308" s="34" t="s">
        <v>79</v>
      </c>
      <c r="K308" s="35">
        <v>0.79166666666666663</v>
      </c>
      <c r="L308" s="35">
        <v>0.85438657407407403</v>
      </c>
      <c r="M308" s="36">
        <v>0.25</v>
      </c>
      <c r="N308" s="35">
        <v>0.3127199074074074</v>
      </c>
      <c r="O308" s="37">
        <f>IF(N308&gt;M308,N308-M308,(N308+1)-M308)</f>
        <v>6.2719907407407405E-2</v>
      </c>
      <c r="P308" s="29" t="s">
        <v>83</v>
      </c>
      <c r="Q308" s="29" t="s">
        <v>81</v>
      </c>
      <c r="R308" s="29" t="s">
        <v>86</v>
      </c>
      <c r="S308" s="38" t="s">
        <v>46</v>
      </c>
      <c r="T308" s="39" t="s">
        <v>73</v>
      </c>
      <c r="U308" s="39" t="s">
        <v>59</v>
      </c>
      <c r="V308" s="38" t="s">
        <v>100</v>
      </c>
      <c r="W308" s="40" t="s">
        <v>59</v>
      </c>
      <c r="X308" s="13" t="s">
        <v>59</v>
      </c>
      <c r="Y308" s="13" t="s">
        <v>59</v>
      </c>
      <c r="Z308" s="13" t="s">
        <v>59</v>
      </c>
      <c r="AA308" s="13" t="s">
        <v>59</v>
      </c>
      <c r="AB308" s="41" t="s">
        <v>59</v>
      </c>
      <c r="AC308" s="16" t="s">
        <v>59</v>
      </c>
      <c r="AD308" s="42" t="s">
        <v>59</v>
      </c>
      <c r="AE308" s="42">
        <v>14</v>
      </c>
      <c r="AF308" s="42">
        <v>0.05</v>
      </c>
      <c r="AG308" s="43" t="s">
        <v>59</v>
      </c>
      <c r="AH308" s="43" t="s">
        <v>59</v>
      </c>
      <c r="AI308" s="43" t="s">
        <v>59</v>
      </c>
      <c r="AJ308" s="17" t="s">
        <v>59</v>
      </c>
      <c r="AK308" s="17" t="s">
        <v>59</v>
      </c>
      <c r="AL308" s="17">
        <v>16.895536891603054</v>
      </c>
      <c r="AM308" s="17" t="s">
        <v>59</v>
      </c>
      <c r="AN308" s="17" t="s">
        <v>59</v>
      </c>
      <c r="AO308" s="44" t="s">
        <v>61</v>
      </c>
    </row>
    <row r="309" spans="1:41" ht="12" customHeight="1" x14ac:dyDescent="0.35">
      <c r="A309" s="29" t="s">
        <v>76</v>
      </c>
      <c r="B309" s="30" t="s">
        <v>62</v>
      </c>
      <c r="C309" s="29">
        <v>48</v>
      </c>
      <c r="D309" s="29" t="s">
        <v>77</v>
      </c>
      <c r="E309" s="31" t="s">
        <v>78</v>
      </c>
      <c r="F309" s="29">
        <v>5163</v>
      </c>
      <c r="G309" s="29"/>
      <c r="H309" s="32">
        <v>46102</v>
      </c>
      <c r="I309" s="33">
        <v>46103</v>
      </c>
      <c r="J309" s="34" t="s">
        <v>71</v>
      </c>
      <c r="K309" s="35">
        <v>0.71875</v>
      </c>
      <c r="L309" s="35">
        <v>0.79165509259259259</v>
      </c>
      <c r="M309" s="36">
        <v>0.17708333333333334</v>
      </c>
      <c r="N309" s="35">
        <v>0.24998842592592593</v>
      </c>
      <c r="O309" s="37">
        <f>IF(N309&gt;M309,N309-M309,(N309+1)-M309)</f>
        <v>7.2905092592592591E-2</v>
      </c>
      <c r="P309" s="29" t="s">
        <v>83</v>
      </c>
      <c r="Q309" s="29" t="s">
        <v>89</v>
      </c>
      <c r="R309" s="29" t="s">
        <v>90</v>
      </c>
      <c r="S309" s="38" t="s">
        <v>46</v>
      </c>
      <c r="T309" s="39" t="s">
        <v>73</v>
      </c>
      <c r="U309" s="39" t="s">
        <v>59</v>
      </c>
      <c r="V309" s="38" t="s">
        <v>104</v>
      </c>
      <c r="W309" s="40" t="s">
        <v>59</v>
      </c>
      <c r="X309" s="13" t="s">
        <v>59</v>
      </c>
      <c r="Y309" s="13" t="s">
        <v>59</v>
      </c>
      <c r="Z309" s="13" t="s">
        <v>59</v>
      </c>
      <c r="AA309" s="13" t="s">
        <v>59</v>
      </c>
      <c r="AB309" s="41" t="s">
        <v>59</v>
      </c>
      <c r="AC309" s="16" t="s">
        <v>59</v>
      </c>
      <c r="AD309" s="42" t="s">
        <v>59</v>
      </c>
      <c r="AE309" s="42">
        <v>20</v>
      </c>
      <c r="AF309" s="42">
        <v>7.0000000000000007E-2</v>
      </c>
      <c r="AG309" s="43" t="s">
        <v>59</v>
      </c>
      <c r="AH309" s="43" t="s">
        <v>59</v>
      </c>
      <c r="AI309" s="43" t="s">
        <v>59</v>
      </c>
      <c r="AJ309" s="17" t="s">
        <v>59</v>
      </c>
      <c r="AK309" s="17" t="s">
        <v>59</v>
      </c>
      <c r="AL309" s="17">
        <v>16.895536891603054</v>
      </c>
      <c r="AM309" s="17" t="s">
        <v>59</v>
      </c>
      <c r="AN309" s="17" t="s">
        <v>59</v>
      </c>
      <c r="AO309" s="44" t="s">
        <v>61</v>
      </c>
    </row>
    <row r="310" spans="1:41" ht="12" customHeight="1" x14ac:dyDescent="0.35">
      <c r="A310" s="29" t="s">
        <v>76</v>
      </c>
      <c r="B310" s="30" t="s">
        <v>62</v>
      </c>
      <c r="C310" s="29">
        <v>48</v>
      </c>
      <c r="D310" s="29" t="s">
        <v>77</v>
      </c>
      <c r="E310" s="31" t="s">
        <v>78</v>
      </c>
      <c r="F310" s="29">
        <v>5163</v>
      </c>
      <c r="G310" s="29" t="s">
        <v>59</v>
      </c>
      <c r="H310" s="32">
        <v>46102</v>
      </c>
      <c r="I310" s="33">
        <v>46103</v>
      </c>
      <c r="J310" s="34" t="s">
        <v>71</v>
      </c>
      <c r="K310" s="35">
        <v>0.79166666666666663</v>
      </c>
      <c r="L310" s="35">
        <v>0.85438657407407403</v>
      </c>
      <c r="M310" s="36">
        <v>0.25</v>
      </c>
      <c r="N310" s="35">
        <v>0.3127199074074074</v>
      </c>
      <c r="O310" s="37">
        <f>IF(N310&gt;M310,N310-M310,(N310+1)-M310)</f>
        <v>6.2719907407407405E-2</v>
      </c>
      <c r="P310" s="29" t="s">
        <v>83</v>
      </c>
      <c r="Q310" s="29" t="s">
        <v>87</v>
      </c>
      <c r="R310" s="29" t="s">
        <v>91</v>
      </c>
      <c r="S310" s="38" t="s">
        <v>46</v>
      </c>
      <c r="T310" s="39" t="s">
        <v>73</v>
      </c>
      <c r="U310" s="39" t="s">
        <v>59</v>
      </c>
      <c r="V310" s="38" t="s">
        <v>104</v>
      </c>
      <c r="W310" s="40" t="s">
        <v>59</v>
      </c>
      <c r="X310" s="13" t="s">
        <v>59</v>
      </c>
      <c r="Y310" s="13" t="s">
        <v>59</v>
      </c>
      <c r="Z310" s="13" t="s">
        <v>59</v>
      </c>
      <c r="AA310" s="13" t="s">
        <v>59</v>
      </c>
      <c r="AB310" s="41" t="s">
        <v>59</v>
      </c>
      <c r="AC310" s="16" t="s">
        <v>59</v>
      </c>
      <c r="AD310" s="42" t="s">
        <v>59</v>
      </c>
      <c r="AE310" s="42">
        <v>16</v>
      </c>
      <c r="AF310" s="42">
        <v>0.06</v>
      </c>
      <c r="AG310" s="43" t="s">
        <v>59</v>
      </c>
      <c r="AH310" s="43" t="s">
        <v>59</v>
      </c>
      <c r="AI310" s="43" t="s">
        <v>59</v>
      </c>
      <c r="AJ310" s="17" t="s">
        <v>59</v>
      </c>
      <c r="AK310" s="17" t="s">
        <v>59</v>
      </c>
      <c r="AL310" s="17">
        <v>16.895536891603054</v>
      </c>
      <c r="AM310" s="17" t="s">
        <v>59</v>
      </c>
      <c r="AN310" s="17" t="s">
        <v>59</v>
      </c>
      <c r="AO310" s="44" t="s">
        <v>61</v>
      </c>
    </row>
    <row r="311" spans="1:41" ht="12" customHeight="1" x14ac:dyDescent="0.35">
      <c r="A311" s="29" t="s">
        <v>96</v>
      </c>
      <c r="B311" s="30" t="s">
        <v>194</v>
      </c>
      <c r="C311" s="29">
        <v>23</v>
      </c>
      <c r="D311" s="29" t="s">
        <v>195</v>
      </c>
      <c r="E311" s="31" t="s">
        <v>196</v>
      </c>
      <c r="F311" s="29">
        <v>1253</v>
      </c>
      <c r="G311" s="29" t="s">
        <v>59</v>
      </c>
      <c r="H311" s="32">
        <v>46103</v>
      </c>
      <c r="I311" s="33">
        <v>46103</v>
      </c>
      <c r="J311" s="34" t="s">
        <v>74</v>
      </c>
      <c r="K311" s="35">
        <v>0.69097222222222221</v>
      </c>
      <c r="L311" s="35">
        <v>0.83261574074074074</v>
      </c>
      <c r="M311" s="36">
        <v>0.73263888888888884</v>
      </c>
      <c r="N311" s="35">
        <v>0.87428240740740737</v>
      </c>
      <c r="O311" s="37">
        <f>IF(N311&gt;M311,N311-M311,(N311+1)-M311)</f>
        <v>0.14164351851851853</v>
      </c>
      <c r="P311" s="29" t="s">
        <v>197</v>
      </c>
      <c r="Q311" s="29" t="s">
        <v>197</v>
      </c>
      <c r="R311" s="29" t="s">
        <v>198</v>
      </c>
      <c r="S311" s="38" t="s">
        <v>46</v>
      </c>
      <c r="T311" s="39" t="s">
        <v>73</v>
      </c>
      <c r="U311" s="39" t="s">
        <v>59</v>
      </c>
      <c r="V311" s="38" t="s">
        <v>107</v>
      </c>
      <c r="W311" s="40" t="s">
        <v>59</v>
      </c>
      <c r="X311" s="13" t="s">
        <v>59</v>
      </c>
      <c r="Y311" s="13" t="s">
        <v>59</v>
      </c>
      <c r="Z311" s="13" t="s">
        <v>59</v>
      </c>
      <c r="AA311" s="13" t="s">
        <v>59</v>
      </c>
      <c r="AB311" s="41" t="s">
        <v>59</v>
      </c>
      <c r="AC311" s="16" t="s">
        <v>59</v>
      </c>
      <c r="AD311" s="42" t="s">
        <v>59</v>
      </c>
      <c r="AE311" s="42">
        <v>33.729999999999997</v>
      </c>
      <c r="AF311" s="42">
        <v>4.91</v>
      </c>
      <c r="AG311" s="43" t="s">
        <v>59</v>
      </c>
      <c r="AH311" s="43" t="s">
        <v>59</v>
      </c>
      <c r="AI311" s="43" t="s">
        <v>59</v>
      </c>
      <c r="AJ311" s="17" t="s">
        <v>59</v>
      </c>
      <c r="AK311" s="17" t="s">
        <v>59</v>
      </c>
      <c r="AL311" s="17">
        <v>17.078623333333329</v>
      </c>
      <c r="AM311" s="17" t="s">
        <v>59</v>
      </c>
      <c r="AN311" s="17" t="s">
        <v>59</v>
      </c>
      <c r="AO311" s="44" t="s">
        <v>61</v>
      </c>
    </row>
    <row r="312" spans="1:41" ht="12" customHeight="1" x14ac:dyDescent="0.35">
      <c r="A312" s="29" t="s">
        <v>96</v>
      </c>
      <c r="B312" s="30" t="s">
        <v>212</v>
      </c>
      <c r="C312" s="29">
        <v>128</v>
      </c>
      <c r="D312" s="29" t="s">
        <v>213</v>
      </c>
      <c r="E312" s="31" t="s">
        <v>214</v>
      </c>
      <c r="F312" s="29">
        <v>1160</v>
      </c>
      <c r="G312" s="29"/>
      <c r="H312" s="32">
        <v>46102</v>
      </c>
      <c r="I312" s="33">
        <v>46102</v>
      </c>
      <c r="J312" s="34" t="s">
        <v>71</v>
      </c>
      <c r="K312" s="35">
        <v>0.72186342592592589</v>
      </c>
      <c r="L312" s="35">
        <v>0.85321759259259256</v>
      </c>
      <c r="M312" s="36">
        <v>0.76353009259259264</v>
      </c>
      <c r="N312" s="35">
        <v>0.8948842592592593</v>
      </c>
      <c r="O312" s="37">
        <f>IF(N312&gt;M312,N312-M312,(N312+1)-M312)</f>
        <v>0.13135416666666666</v>
      </c>
      <c r="P312" s="29" t="s">
        <v>215</v>
      </c>
      <c r="Q312" s="29" t="s">
        <v>216</v>
      </c>
      <c r="R312" s="29" t="s">
        <v>217</v>
      </c>
      <c r="S312" s="38" t="s">
        <v>46</v>
      </c>
      <c r="T312" s="39" t="s">
        <v>73</v>
      </c>
      <c r="U312" s="39" t="s">
        <v>59</v>
      </c>
      <c r="V312" s="38" t="s">
        <v>104</v>
      </c>
      <c r="W312" s="40" t="s">
        <v>59</v>
      </c>
      <c r="X312" s="13" t="s">
        <v>59</v>
      </c>
      <c r="Y312" s="13" t="s">
        <v>59</v>
      </c>
      <c r="Z312" s="13" t="s">
        <v>59</v>
      </c>
      <c r="AA312" s="13" t="s">
        <v>59</v>
      </c>
      <c r="AB312" s="41" t="s">
        <v>59</v>
      </c>
      <c r="AC312" s="16" t="s">
        <v>59</v>
      </c>
      <c r="AD312" s="42" t="s">
        <v>59</v>
      </c>
      <c r="AE312" s="42">
        <v>96.5</v>
      </c>
      <c r="AF312" s="42">
        <v>3.3</v>
      </c>
      <c r="AG312" s="43" t="s">
        <v>59</v>
      </c>
      <c r="AH312" s="43" t="s">
        <v>59</v>
      </c>
      <c r="AI312" s="43" t="s">
        <v>59</v>
      </c>
      <c r="AJ312" s="17" t="s">
        <v>59</v>
      </c>
      <c r="AK312" s="17" t="s">
        <v>59</v>
      </c>
      <c r="AL312" s="17">
        <v>17.852064351965851</v>
      </c>
      <c r="AM312" s="17" t="s">
        <v>59</v>
      </c>
      <c r="AN312" s="17" t="s">
        <v>59</v>
      </c>
      <c r="AO312" s="44" t="s">
        <v>61</v>
      </c>
    </row>
    <row r="313" spans="1:41" ht="12" customHeight="1" x14ac:dyDescent="0.35">
      <c r="A313" s="29" t="s">
        <v>96</v>
      </c>
      <c r="B313" s="30" t="s">
        <v>208</v>
      </c>
      <c r="C313" s="29">
        <v>25</v>
      </c>
      <c r="D313" s="29" t="s">
        <v>209</v>
      </c>
      <c r="E313" s="31" t="s">
        <v>210</v>
      </c>
      <c r="F313" s="29">
        <v>1109</v>
      </c>
      <c r="G313" s="29" t="s">
        <v>59</v>
      </c>
      <c r="H313" s="32">
        <v>46103</v>
      </c>
      <c r="I313" s="33">
        <v>46103</v>
      </c>
      <c r="J313" s="34" t="s">
        <v>74</v>
      </c>
      <c r="K313" s="35">
        <v>0.6943287037037037</v>
      </c>
      <c r="L313" s="35">
        <v>0.83135416666666662</v>
      </c>
      <c r="M313" s="36">
        <v>0.6943287037037037</v>
      </c>
      <c r="N313" s="35">
        <v>0.83135416666666662</v>
      </c>
      <c r="O313" s="37">
        <f>IF(N313&gt;M313,N313-M313,(N313+1)-M313)</f>
        <v>0.13702546296296292</v>
      </c>
      <c r="P313" s="29" t="s">
        <v>211</v>
      </c>
      <c r="Q313" s="29" t="s">
        <v>59</v>
      </c>
      <c r="R313" s="29" t="s">
        <v>211</v>
      </c>
      <c r="S313" s="38" t="s">
        <v>46</v>
      </c>
      <c r="T313" s="39" t="s">
        <v>73</v>
      </c>
      <c r="U313" s="39" t="s">
        <v>59</v>
      </c>
      <c r="V313" s="38" t="s">
        <v>107</v>
      </c>
      <c r="W313" s="40" t="s">
        <v>59</v>
      </c>
      <c r="X313" s="13" t="s">
        <v>59</v>
      </c>
      <c r="Y313" s="13" t="s">
        <v>59</v>
      </c>
      <c r="Z313" s="13" t="s">
        <v>59</v>
      </c>
      <c r="AA313" s="13" t="s">
        <v>59</v>
      </c>
      <c r="AB313" s="41" t="s">
        <v>59</v>
      </c>
      <c r="AC313" s="16" t="s">
        <v>59</v>
      </c>
      <c r="AD313" s="42" t="s">
        <v>59</v>
      </c>
      <c r="AE313" s="42">
        <v>105.9</v>
      </c>
      <c r="AF313" s="42">
        <v>2.7</v>
      </c>
      <c r="AG313" s="43" t="s">
        <v>59</v>
      </c>
      <c r="AH313" s="43" t="s">
        <v>59</v>
      </c>
      <c r="AI313" s="43" t="s">
        <v>59</v>
      </c>
      <c r="AJ313" s="17" t="s">
        <v>59</v>
      </c>
      <c r="AK313" s="17" t="s">
        <v>59</v>
      </c>
      <c r="AL313" s="17">
        <v>17.900016863406407</v>
      </c>
      <c r="AM313" s="17" t="s">
        <v>59</v>
      </c>
      <c r="AN313" s="17" t="s">
        <v>59</v>
      </c>
      <c r="AO313" s="44" t="s">
        <v>61</v>
      </c>
    </row>
    <row r="314" spans="1:41" ht="12" customHeight="1" x14ac:dyDescent="0.35">
      <c r="A314" s="29" t="s">
        <v>96</v>
      </c>
      <c r="B314" s="30" t="s">
        <v>63</v>
      </c>
      <c r="C314" s="29">
        <v>20</v>
      </c>
      <c r="D314" s="29" t="s">
        <v>175</v>
      </c>
      <c r="E314" s="31" t="s">
        <v>176</v>
      </c>
      <c r="F314" s="29">
        <v>21659</v>
      </c>
      <c r="G314" s="29" t="s">
        <v>59</v>
      </c>
      <c r="H314" s="32">
        <v>46102</v>
      </c>
      <c r="I314" s="33">
        <v>46102</v>
      </c>
      <c r="J314" s="34" t="s">
        <v>71</v>
      </c>
      <c r="K314" s="35">
        <v>0.71875</v>
      </c>
      <c r="L314" s="35">
        <v>0.85347222222222219</v>
      </c>
      <c r="M314" s="36">
        <v>0.71875</v>
      </c>
      <c r="N314" s="35">
        <v>0.85347222222222219</v>
      </c>
      <c r="O314" s="37">
        <f>IF(N314&gt;M314,N314-M314,(N314+1)-M314)</f>
        <v>0.13472222222222219</v>
      </c>
      <c r="P314" s="29" t="s">
        <v>131</v>
      </c>
      <c r="Q314" s="29" t="s">
        <v>59</v>
      </c>
      <c r="R314" s="29" t="s">
        <v>131</v>
      </c>
      <c r="S314" s="38" t="s">
        <v>46</v>
      </c>
      <c r="T314" s="39" t="s">
        <v>73</v>
      </c>
      <c r="U314" s="39" t="s">
        <v>59</v>
      </c>
      <c r="V314" s="38" t="s">
        <v>104</v>
      </c>
      <c r="W314" s="40" t="s">
        <v>59</v>
      </c>
      <c r="X314" s="13" t="s">
        <v>59</v>
      </c>
      <c r="Y314" s="13" t="s">
        <v>59</v>
      </c>
      <c r="Z314" s="13" t="s">
        <v>59</v>
      </c>
      <c r="AA314" s="13" t="s">
        <v>59</v>
      </c>
      <c r="AB314" s="41" t="s">
        <v>59</v>
      </c>
      <c r="AC314" s="16" t="s">
        <v>59</v>
      </c>
      <c r="AD314" s="42" t="s">
        <v>59</v>
      </c>
      <c r="AE314" s="42">
        <v>62.2</v>
      </c>
      <c r="AF314" s="42">
        <v>7.47</v>
      </c>
      <c r="AG314" s="43" t="s">
        <v>59</v>
      </c>
      <c r="AH314" s="43" t="s">
        <v>59</v>
      </c>
      <c r="AI314" s="43" t="s">
        <v>59</v>
      </c>
      <c r="AJ314" s="17" t="s">
        <v>59</v>
      </c>
      <c r="AK314" s="17" t="s">
        <v>59</v>
      </c>
      <c r="AL314" s="17">
        <v>18.038</v>
      </c>
      <c r="AM314" s="17" t="s">
        <v>59</v>
      </c>
      <c r="AN314" s="17" t="s">
        <v>59</v>
      </c>
      <c r="AO314" s="44" t="s">
        <v>61</v>
      </c>
    </row>
    <row r="315" spans="1:41" ht="12" customHeight="1" x14ac:dyDescent="0.35">
      <c r="A315" s="29" t="s">
        <v>96</v>
      </c>
      <c r="B315" s="30" t="s">
        <v>64</v>
      </c>
      <c r="C315" s="29">
        <v>19</v>
      </c>
      <c r="D315" s="29" t="s">
        <v>177</v>
      </c>
      <c r="E315" s="31" t="s">
        <v>178</v>
      </c>
      <c r="F315" s="29">
        <v>2925</v>
      </c>
      <c r="G315" s="29" t="s">
        <v>59</v>
      </c>
      <c r="H315" s="32">
        <v>46102</v>
      </c>
      <c r="I315" s="33">
        <v>46102</v>
      </c>
      <c r="J315" s="34" t="s">
        <v>71</v>
      </c>
      <c r="K315" s="35">
        <v>0.27099537037037036</v>
      </c>
      <c r="L315" s="35">
        <v>0.36512731481481481</v>
      </c>
      <c r="M315" s="36">
        <v>0.31266203703703704</v>
      </c>
      <c r="N315" s="35">
        <v>0.40679398148148149</v>
      </c>
      <c r="O315" s="37">
        <f>IF(N315&gt;M315,N315-M315,(N315+1)-M315)</f>
        <v>9.4131944444444449E-2</v>
      </c>
      <c r="P315" s="29" t="s">
        <v>179</v>
      </c>
      <c r="Q315" s="29" t="s">
        <v>182</v>
      </c>
      <c r="R315" s="29" t="s">
        <v>183</v>
      </c>
      <c r="S315" s="38" t="s">
        <v>48</v>
      </c>
      <c r="T315" s="39" t="s">
        <v>73</v>
      </c>
      <c r="U315" s="39" t="s">
        <v>59</v>
      </c>
      <c r="V315" s="38" t="s">
        <v>100</v>
      </c>
      <c r="W315" s="40" t="s">
        <v>59</v>
      </c>
      <c r="X315" s="13" t="s">
        <v>59</v>
      </c>
      <c r="Y315" s="13" t="s">
        <v>59</v>
      </c>
      <c r="Z315" s="13" t="s">
        <v>59</v>
      </c>
      <c r="AA315" s="13" t="s">
        <v>59</v>
      </c>
      <c r="AB315" s="41" t="s">
        <v>59</v>
      </c>
      <c r="AC315" s="16" t="s">
        <v>59</v>
      </c>
      <c r="AD315" s="42" t="s">
        <v>59</v>
      </c>
      <c r="AE315" s="42">
        <v>37.4</v>
      </c>
      <c r="AF315" s="42">
        <v>0.76</v>
      </c>
      <c r="AG315" s="43" t="s">
        <v>59</v>
      </c>
      <c r="AH315" s="43" t="s">
        <v>59</v>
      </c>
      <c r="AI315" s="43" t="s">
        <v>59</v>
      </c>
      <c r="AJ315" s="17" t="s">
        <v>59</v>
      </c>
      <c r="AK315" s="17" t="s">
        <v>59</v>
      </c>
      <c r="AL315" s="17">
        <v>18.584115941202921</v>
      </c>
      <c r="AM315" s="17" t="s">
        <v>59</v>
      </c>
      <c r="AN315" s="17" t="s">
        <v>59</v>
      </c>
      <c r="AO315" s="44" t="s">
        <v>61</v>
      </c>
    </row>
    <row r="316" spans="1:41" ht="12" customHeight="1" x14ac:dyDescent="0.35">
      <c r="A316" s="29" t="s">
        <v>96</v>
      </c>
      <c r="B316" s="30" t="s">
        <v>200</v>
      </c>
      <c r="C316" s="29">
        <v>26</v>
      </c>
      <c r="D316" s="29" t="s">
        <v>201</v>
      </c>
      <c r="E316" s="31" t="s">
        <v>205</v>
      </c>
      <c r="F316" s="29">
        <v>2724</v>
      </c>
      <c r="G316" s="29" t="s">
        <v>59</v>
      </c>
      <c r="H316" s="32">
        <v>46103</v>
      </c>
      <c r="I316" s="33">
        <v>46103</v>
      </c>
      <c r="J316" s="34" t="s">
        <v>74</v>
      </c>
      <c r="K316" s="35">
        <v>0.37760416666666669</v>
      </c>
      <c r="L316" s="35">
        <v>0.54561342592592588</v>
      </c>
      <c r="M316" s="36">
        <v>0.41927083333333331</v>
      </c>
      <c r="N316" s="35">
        <v>0.58728009259259262</v>
      </c>
      <c r="O316" s="37">
        <f>IF(N316&gt;M316,N316-M316,(N316+1)-M316)</f>
        <v>0.1680092592592593</v>
      </c>
      <c r="P316" s="29" t="s">
        <v>203</v>
      </c>
      <c r="Q316" s="29" t="s">
        <v>136</v>
      </c>
      <c r="R316" s="29" t="s">
        <v>204</v>
      </c>
      <c r="S316" s="38" t="s">
        <v>46</v>
      </c>
      <c r="T316" s="39" t="s">
        <v>73</v>
      </c>
      <c r="U316" s="39" t="s">
        <v>59</v>
      </c>
      <c r="V316" s="38" t="s">
        <v>107</v>
      </c>
      <c r="W316" s="40" t="s">
        <v>59</v>
      </c>
      <c r="X316" s="13" t="s">
        <v>59</v>
      </c>
      <c r="Y316" s="13" t="s">
        <v>59</v>
      </c>
      <c r="Z316" s="13" t="s">
        <v>59</v>
      </c>
      <c r="AA316" s="13" t="s">
        <v>59</v>
      </c>
      <c r="AB316" s="41" t="s">
        <v>59</v>
      </c>
      <c r="AC316" s="16" t="s">
        <v>59</v>
      </c>
      <c r="AD316" s="42" t="s">
        <v>59</v>
      </c>
      <c r="AE316" s="42">
        <v>500.3</v>
      </c>
      <c r="AF316" s="42">
        <v>6.37</v>
      </c>
      <c r="AG316" s="43" t="s">
        <v>59</v>
      </c>
      <c r="AH316" s="43" t="s">
        <v>59</v>
      </c>
      <c r="AI316" s="43" t="s">
        <v>59</v>
      </c>
      <c r="AJ316" s="17" t="s">
        <v>59</v>
      </c>
      <c r="AK316" s="17" t="s">
        <v>59</v>
      </c>
      <c r="AL316" s="17">
        <v>18.703456140689919</v>
      </c>
      <c r="AM316" s="17" t="s">
        <v>59</v>
      </c>
      <c r="AN316" s="17" t="s">
        <v>59</v>
      </c>
      <c r="AO316" s="44" t="s">
        <v>61</v>
      </c>
    </row>
    <row r="317" spans="1:41" ht="12" customHeight="1" x14ac:dyDescent="0.35">
      <c r="A317" s="29" t="s">
        <v>96</v>
      </c>
      <c r="B317" s="30" t="s">
        <v>266</v>
      </c>
      <c r="C317" s="29">
        <v>35</v>
      </c>
      <c r="D317" s="29" t="s">
        <v>267</v>
      </c>
      <c r="E317" s="31" t="s">
        <v>270</v>
      </c>
      <c r="F317" s="29">
        <v>3986</v>
      </c>
      <c r="G317" s="29" t="s">
        <v>59</v>
      </c>
      <c r="H317" s="32">
        <v>46102</v>
      </c>
      <c r="I317" s="33">
        <v>46102</v>
      </c>
      <c r="J317" s="34" t="s">
        <v>71</v>
      </c>
      <c r="K317" s="35">
        <v>0.71875</v>
      </c>
      <c r="L317" s="35">
        <v>0.86458333333333337</v>
      </c>
      <c r="M317" s="36">
        <v>0.71875</v>
      </c>
      <c r="N317" s="35">
        <v>0.86458333333333337</v>
      </c>
      <c r="O317" s="37">
        <f>IF(N317&gt;M317,N317-M317,(N317+1)-M317)</f>
        <v>0.14583333333333337</v>
      </c>
      <c r="P317" s="29" t="s">
        <v>268</v>
      </c>
      <c r="Q317" s="29" t="s">
        <v>59</v>
      </c>
      <c r="R317" s="29" t="s">
        <v>268</v>
      </c>
      <c r="S317" s="38" t="s">
        <v>46</v>
      </c>
      <c r="T317" s="39" t="s">
        <v>73</v>
      </c>
      <c r="U317" s="39" t="s">
        <v>59</v>
      </c>
      <c r="V317" s="38" t="s">
        <v>104</v>
      </c>
      <c r="W317" s="40" t="s">
        <v>59</v>
      </c>
      <c r="X317" s="13" t="s">
        <v>59</v>
      </c>
      <c r="Y317" s="13" t="s">
        <v>59</v>
      </c>
      <c r="Z317" s="13" t="s">
        <v>59</v>
      </c>
      <c r="AA317" s="13" t="s">
        <v>59</v>
      </c>
      <c r="AB317" s="41" t="s">
        <v>59</v>
      </c>
      <c r="AC317" s="16" t="s">
        <v>59</v>
      </c>
      <c r="AD317" s="42" t="s">
        <v>59</v>
      </c>
      <c r="AE317" s="42">
        <v>52.3</v>
      </c>
      <c r="AF317" s="42">
        <v>0</v>
      </c>
      <c r="AG317" s="43" t="s">
        <v>59</v>
      </c>
      <c r="AH317" s="43" t="s">
        <v>59</v>
      </c>
      <c r="AI317" s="43" t="s">
        <v>59</v>
      </c>
      <c r="AJ317" s="17" t="s">
        <v>59</v>
      </c>
      <c r="AK317" s="17" t="s">
        <v>59</v>
      </c>
      <c r="AL317" s="17">
        <v>18.775699999999997</v>
      </c>
      <c r="AM317" s="17" t="s">
        <v>59</v>
      </c>
      <c r="AN317" s="17" t="s">
        <v>59</v>
      </c>
      <c r="AO317" s="44" t="s">
        <v>61</v>
      </c>
    </row>
    <row r="318" spans="1:41" ht="12" customHeight="1" x14ac:dyDescent="0.35">
      <c r="A318" s="29" t="s">
        <v>96</v>
      </c>
      <c r="B318" s="30" t="s">
        <v>200</v>
      </c>
      <c r="C318" s="29">
        <v>26</v>
      </c>
      <c r="D318" s="29" t="s">
        <v>201</v>
      </c>
      <c r="E318" s="31" t="s">
        <v>205</v>
      </c>
      <c r="F318" s="29">
        <v>2724</v>
      </c>
      <c r="G318" s="29" t="s">
        <v>59</v>
      </c>
      <c r="H318" s="32">
        <v>46102</v>
      </c>
      <c r="I318" s="33">
        <v>46102</v>
      </c>
      <c r="J318" s="34" t="s">
        <v>71</v>
      </c>
      <c r="K318" s="35">
        <v>0.7847453703703704</v>
      </c>
      <c r="L318" s="35">
        <v>0.85605324074074074</v>
      </c>
      <c r="M318" s="36">
        <v>0.82641203703703703</v>
      </c>
      <c r="N318" s="35">
        <v>0.89771990740740737</v>
      </c>
      <c r="O318" s="37">
        <f>IF(N318&gt;M318,N318-M318,(N318+1)-M318)</f>
        <v>7.1307870370370341E-2</v>
      </c>
      <c r="P318" s="29" t="s">
        <v>203</v>
      </c>
      <c r="Q318" s="29" t="s">
        <v>136</v>
      </c>
      <c r="R318" s="29" t="s">
        <v>204</v>
      </c>
      <c r="S318" s="38" t="s">
        <v>46</v>
      </c>
      <c r="T318" s="39" t="s">
        <v>73</v>
      </c>
      <c r="U318" s="39" t="s">
        <v>59</v>
      </c>
      <c r="V318" s="38" t="s">
        <v>104</v>
      </c>
      <c r="W318" s="40" t="s">
        <v>59</v>
      </c>
      <c r="X318" s="13" t="s">
        <v>59</v>
      </c>
      <c r="Y318" s="13" t="s">
        <v>59</v>
      </c>
      <c r="Z318" s="13" t="s">
        <v>59</v>
      </c>
      <c r="AA318" s="13" t="s">
        <v>59</v>
      </c>
      <c r="AB318" s="41" t="s">
        <v>59</v>
      </c>
      <c r="AC318" s="16" t="s">
        <v>59</v>
      </c>
      <c r="AD318" s="42" t="s">
        <v>59</v>
      </c>
      <c r="AE318" s="42">
        <v>548.9</v>
      </c>
      <c r="AF318" s="42">
        <v>4.4400000000000004</v>
      </c>
      <c r="AG318" s="43" t="s">
        <v>59</v>
      </c>
      <c r="AH318" s="43" t="s">
        <v>59</v>
      </c>
      <c r="AI318" s="43" t="s">
        <v>59</v>
      </c>
      <c r="AJ318" s="17" t="s">
        <v>59</v>
      </c>
      <c r="AK318" s="17" t="s">
        <v>59</v>
      </c>
      <c r="AL318" s="17">
        <v>20.520341946081746</v>
      </c>
      <c r="AM318" s="17" t="s">
        <v>59</v>
      </c>
      <c r="AN318" s="17" t="s">
        <v>59</v>
      </c>
      <c r="AO318" s="44" t="s">
        <v>61</v>
      </c>
    </row>
    <row r="319" spans="1:41" ht="12" customHeight="1" x14ac:dyDescent="0.35">
      <c r="A319" s="29" t="s">
        <v>65</v>
      </c>
      <c r="B319" s="30" t="s">
        <v>60</v>
      </c>
      <c r="C319" s="29">
        <v>39</v>
      </c>
      <c r="D319" s="29" t="s">
        <v>66</v>
      </c>
      <c r="E319" s="31" t="s">
        <v>370</v>
      </c>
      <c r="F319" s="29">
        <v>33341</v>
      </c>
      <c r="G319" s="29" t="s">
        <v>59</v>
      </c>
      <c r="H319" s="32">
        <v>46102</v>
      </c>
      <c r="I319" s="33">
        <v>46102</v>
      </c>
      <c r="J319" s="34" t="s">
        <v>71</v>
      </c>
      <c r="K319" s="35">
        <v>0.70427083333333329</v>
      </c>
      <c r="L319" s="35">
        <v>0.87962962962962965</v>
      </c>
      <c r="M319" s="36">
        <v>0.78760416666666666</v>
      </c>
      <c r="N319" s="35">
        <v>0.96296296296296291</v>
      </c>
      <c r="O319" s="37">
        <f>IF(N319&gt;M319,N319-M319,(N319+1)-M319)</f>
        <v>0.17535879629629625</v>
      </c>
      <c r="P319" s="29" t="s">
        <v>225</v>
      </c>
      <c r="Q319" s="29" t="s">
        <v>59</v>
      </c>
      <c r="R319" s="29" t="s">
        <v>225</v>
      </c>
      <c r="S319" s="38" t="s">
        <v>46</v>
      </c>
      <c r="T319" s="39" t="s">
        <v>73</v>
      </c>
      <c r="U319" s="39" t="s">
        <v>59</v>
      </c>
      <c r="V319" s="38" t="s">
        <v>104</v>
      </c>
      <c r="W319" s="40" t="s">
        <v>59</v>
      </c>
      <c r="X319" s="13" t="s">
        <v>59</v>
      </c>
      <c r="Y319" s="13" t="s">
        <v>59</v>
      </c>
      <c r="Z319" s="13" t="s">
        <v>59</v>
      </c>
      <c r="AA319" s="13" t="s">
        <v>59</v>
      </c>
      <c r="AB319" s="41" t="s">
        <v>59</v>
      </c>
      <c r="AC319" s="16" t="s">
        <v>59</v>
      </c>
      <c r="AD319" s="42" t="s">
        <v>59</v>
      </c>
      <c r="AE319" s="42">
        <v>34.1</v>
      </c>
      <c r="AF319" s="42">
        <v>0.32</v>
      </c>
      <c r="AG319" s="43" t="s">
        <v>59</v>
      </c>
      <c r="AH319" s="43" t="s">
        <v>59</v>
      </c>
      <c r="AI319" s="43" t="s">
        <v>59</v>
      </c>
      <c r="AJ319" s="17" t="s">
        <v>59</v>
      </c>
      <c r="AK319" s="17" t="s">
        <v>59</v>
      </c>
      <c r="AL319" s="17">
        <v>22.733333333333334</v>
      </c>
      <c r="AM319" s="17" t="s">
        <v>59</v>
      </c>
      <c r="AN319" s="17" t="s">
        <v>59</v>
      </c>
      <c r="AO319" s="44" t="s">
        <v>61</v>
      </c>
    </row>
    <row r="320" spans="1:41" ht="12" customHeight="1" x14ac:dyDescent="0.35">
      <c r="A320" s="29" t="s">
        <v>96</v>
      </c>
      <c r="B320" s="30" t="s">
        <v>266</v>
      </c>
      <c r="C320" s="29">
        <v>35</v>
      </c>
      <c r="D320" s="29" t="s">
        <v>267</v>
      </c>
      <c r="E320" s="31" t="s">
        <v>269</v>
      </c>
      <c r="F320" s="29">
        <v>2134</v>
      </c>
      <c r="G320" s="29" t="s">
        <v>59</v>
      </c>
      <c r="H320" s="32">
        <v>46102</v>
      </c>
      <c r="I320" s="33">
        <v>46102</v>
      </c>
      <c r="J320" s="34" t="s">
        <v>71</v>
      </c>
      <c r="K320" s="35">
        <v>0.71875</v>
      </c>
      <c r="L320" s="35">
        <v>0.86458333333333337</v>
      </c>
      <c r="M320" s="36">
        <v>0.71875</v>
      </c>
      <c r="N320" s="35">
        <v>0.86458333333333337</v>
      </c>
      <c r="O320" s="37">
        <f>IF(N320&gt;M320,N320-M320,(N320+1)-M320)</f>
        <v>0.14583333333333337</v>
      </c>
      <c r="P320" s="29" t="s">
        <v>268</v>
      </c>
      <c r="Q320" s="29" t="s">
        <v>59</v>
      </c>
      <c r="R320" s="29" t="s">
        <v>268</v>
      </c>
      <c r="S320" s="38" t="s">
        <v>46</v>
      </c>
      <c r="T320" s="39" t="s">
        <v>73</v>
      </c>
      <c r="U320" s="39" t="s">
        <v>59</v>
      </c>
      <c r="V320" s="38" t="s">
        <v>104</v>
      </c>
      <c r="W320" s="40" t="s">
        <v>59</v>
      </c>
      <c r="X320" s="13" t="s">
        <v>59</v>
      </c>
      <c r="Y320" s="13" t="s">
        <v>59</v>
      </c>
      <c r="Z320" s="13" t="s">
        <v>59</v>
      </c>
      <c r="AA320" s="13" t="s">
        <v>59</v>
      </c>
      <c r="AB320" s="41" t="s">
        <v>59</v>
      </c>
      <c r="AC320" s="16" t="s">
        <v>59</v>
      </c>
      <c r="AD320" s="42" t="s">
        <v>59</v>
      </c>
      <c r="AE320" s="42">
        <v>63.4</v>
      </c>
      <c r="AF320" s="42">
        <v>0</v>
      </c>
      <c r="AG320" s="43" t="s">
        <v>59</v>
      </c>
      <c r="AH320" s="43" t="s">
        <v>59</v>
      </c>
      <c r="AI320" s="43" t="s">
        <v>59</v>
      </c>
      <c r="AJ320" s="17" t="s">
        <v>59</v>
      </c>
      <c r="AK320" s="17" t="s">
        <v>59</v>
      </c>
      <c r="AL320" s="17">
        <v>22.7606</v>
      </c>
      <c r="AM320" s="17" t="s">
        <v>59</v>
      </c>
      <c r="AN320" s="17" t="s">
        <v>59</v>
      </c>
      <c r="AO320" s="44" t="s">
        <v>61</v>
      </c>
    </row>
    <row r="321" spans="1:41" ht="12" customHeight="1" x14ac:dyDescent="0.35">
      <c r="A321" s="29" t="s">
        <v>96</v>
      </c>
      <c r="B321" s="30" t="s">
        <v>238</v>
      </c>
      <c r="C321" s="29">
        <v>6</v>
      </c>
      <c r="D321" s="29" t="s">
        <v>239</v>
      </c>
      <c r="E321" s="31" t="s">
        <v>250</v>
      </c>
      <c r="F321" s="29">
        <v>4512</v>
      </c>
      <c r="G321" s="29" t="s">
        <v>59</v>
      </c>
      <c r="H321" s="32">
        <v>46101</v>
      </c>
      <c r="I321" s="33">
        <v>46101</v>
      </c>
      <c r="J321" s="34" t="s">
        <v>79</v>
      </c>
      <c r="K321" s="35">
        <v>0.73013888888888889</v>
      </c>
      <c r="L321" s="35">
        <v>0.73071759259259261</v>
      </c>
      <c r="M321" s="36">
        <v>0.77180555555555552</v>
      </c>
      <c r="N321" s="35">
        <v>0.77238425925925924</v>
      </c>
      <c r="O321" s="37">
        <f>IF(N321&gt;M321,N321-M321,(N321+1)-M321)</f>
        <v>5.7870370370372015E-4</v>
      </c>
      <c r="P321" s="29" t="s">
        <v>251</v>
      </c>
      <c r="Q321" s="29" t="s">
        <v>254</v>
      </c>
      <c r="R321" s="29" t="s">
        <v>255</v>
      </c>
      <c r="S321" s="38" t="s">
        <v>46</v>
      </c>
      <c r="T321" s="39" t="s">
        <v>73</v>
      </c>
      <c r="U321" s="39" t="s">
        <v>59</v>
      </c>
      <c r="V321" s="38" t="s">
        <v>100</v>
      </c>
      <c r="W321" s="40" t="s">
        <v>59</v>
      </c>
      <c r="X321" s="13" t="s">
        <v>59</v>
      </c>
      <c r="Y321" s="13" t="s">
        <v>59</v>
      </c>
      <c r="Z321" s="13" t="s">
        <v>59</v>
      </c>
      <c r="AA321" s="13" t="s">
        <v>59</v>
      </c>
      <c r="AB321" s="41" t="s">
        <v>59</v>
      </c>
      <c r="AC321" s="16" t="s">
        <v>59</v>
      </c>
      <c r="AD321" s="42" t="s">
        <v>59</v>
      </c>
      <c r="AE321" s="42">
        <v>26.9</v>
      </c>
      <c r="AF321" s="42">
        <v>3</v>
      </c>
      <c r="AG321" s="43" t="s">
        <v>59</v>
      </c>
      <c r="AH321" s="43" t="s">
        <v>59</v>
      </c>
      <c r="AI321" s="43" t="s">
        <v>59</v>
      </c>
      <c r="AJ321" s="17" t="s">
        <v>59</v>
      </c>
      <c r="AK321" s="17" t="s">
        <v>59</v>
      </c>
      <c r="AL321" s="17">
        <v>23.561411111111109</v>
      </c>
      <c r="AM321" s="17" t="s">
        <v>59</v>
      </c>
      <c r="AN321" s="17" t="s">
        <v>59</v>
      </c>
      <c r="AO321" s="44" t="s">
        <v>61</v>
      </c>
    </row>
    <row r="322" spans="1:41" ht="12" customHeight="1" x14ac:dyDescent="0.35">
      <c r="A322" s="29" t="s">
        <v>65</v>
      </c>
      <c r="B322" s="30" t="s">
        <v>60</v>
      </c>
      <c r="C322" s="29">
        <v>39</v>
      </c>
      <c r="D322" s="29" t="s">
        <v>66</v>
      </c>
      <c r="E322" s="31" t="s">
        <v>370</v>
      </c>
      <c r="F322" s="29">
        <v>33341</v>
      </c>
      <c r="G322" s="29" t="s">
        <v>59</v>
      </c>
      <c r="H322" s="32">
        <v>46102</v>
      </c>
      <c r="I322" s="33">
        <v>46102</v>
      </c>
      <c r="J322" s="34" t="s">
        <v>71</v>
      </c>
      <c r="K322" s="35">
        <v>0.37164351851851851</v>
      </c>
      <c r="L322" s="35">
        <v>0.54547453703703708</v>
      </c>
      <c r="M322" s="36">
        <v>0.45497685185185183</v>
      </c>
      <c r="N322" s="35">
        <v>0.62880787037037034</v>
      </c>
      <c r="O322" s="37">
        <f>IF(N322&gt;M322,N322-M322,(N322+1)-M322)</f>
        <v>0.17383101851851851</v>
      </c>
      <c r="P322" s="29" t="s">
        <v>225</v>
      </c>
      <c r="Q322" s="29" t="s">
        <v>59</v>
      </c>
      <c r="R322" s="29" t="s">
        <v>225</v>
      </c>
      <c r="S322" s="38" t="s">
        <v>46</v>
      </c>
      <c r="T322" s="39" t="s">
        <v>73</v>
      </c>
      <c r="U322" s="39" t="s">
        <v>59</v>
      </c>
      <c r="V322" s="38" t="s">
        <v>104</v>
      </c>
      <c r="W322" s="40" t="s">
        <v>59</v>
      </c>
      <c r="X322" s="13" t="s">
        <v>59</v>
      </c>
      <c r="Y322" s="13" t="s">
        <v>59</v>
      </c>
      <c r="Z322" s="13" t="s">
        <v>59</v>
      </c>
      <c r="AA322" s="13" t="s">
        <v>59</v>
      </c>
      <c r="AB322" s="41" t="s">
        <v>59</v>
      </c>
      <c r="AC322" s="16" t="s">
        <v>59</v>
      </c>
      <c r="AD322" s="42" t="s">
        <v>59</v>
      </c>
      <c r="AE322" s="42">
        <v>37.1</v>
      </c>
      <c r="AF322" s="42">
        <v>0.38</v>
      </c>
      <c r="AG322" s="43" t="s">
        <v>59</v>
      </c>
      <c r="AH322" s="43" t="s">
        <v>59</v>
      </c>
      <c r="AI322" s="43" t="s">
        <v>59</v>
      </c>
      <c r="AJ322" s="17" t="s">
        <v>59</v>
      </c>
      <c r="AK322" s="17" t="s">
        <v>59</v>
      </c>
      <c r="AL322" s="17">
        <v>24.733333333333334</v>
      </c>
      <c r="AM322" s="17" t="s">
        <v>59</v>
      </c>
      <c r="AN322" s="17" t="s">
        <v>59</v>
      </c>
      <c r="AO322" s="44" t="s">
        <v>61</v>
      </c>
    </row>
    <row r="323" spans="1:41" ht="12" customHeight="1" x14ac:dyDescent="0.35">
      <c r="A323" s="29" t="s">
        <v>96</v>
      </c>
      <c r="B323" s="30" t="s">
        <v>266</v>
      </c>
      <c r="C323" s="29">
        <v>35</v>
      </c>
      <c r="D323" s="29" t="s">
        <v>267</v>
      </c>
      <c r="E323" s="31" t="s">
        <v>270</v>
      </c>
      <c r="F323" s="29">
        <v>3986</v>
      </c>
      <c r="G323" s="29" t="s">
        <v>59</v>
      </c>
      <c r="H323" s="32">
        <v>46103</v>
      </c>
      <c r="I323" s="33">
        <v>46103</v>
      </c>
      <c r="J323" s="34" t="s">
        <v>74</v>
      </c>
      <c r="K323" s="35">
        <v>0.70833333333333337</v>
      </c>
      <c r="L323" s="35">
        <v>0.84375</v>
      </c>
      <c r="M323" s="36">
        <v>0.70833333333333337</v>
      </c>
      <c r="N323" s="35">
        <v>0.84375</v>
      </c>
      <c r="O323" s="37">
        <f>IF(N323&gt;M323,N323-M323,(N323+1)-M323)</f>
        <v>0.13541666666666663</v>
      </c>
      <c r="P323" s="29" t="s">
        <v>268</v>
      </c>
      <c r="Q323" s="29" t="s">
        <v>59</v>
      </c>
      <c r="R323" s="29" t="s">
        <v>268</v>
      </c>
      <c r="S323" s="38" t="s">
        <v>46</v>
      </c>
      <c r="T323" s="39" t="s">
        <v>73</v>
      </c>
      <c r="U323" s="39" t="s">
        <v>59</v>
      </c>
      <c r="V323" s="38" t="s">
        <v>107</v>
      </c>
      <c r="W323" s="40" t="s">
        <v>59</v>
      </c>
      <c r="X323" s="13" t="s">
        <v>59</v>
      </c>
      <c r="Y323" s="13" t="s">
        <v>59</v>
      </c>
      <c r="Z323" s="13" t="s">
        <v>59</v>
      </c>
      <c r="AA323" s="13" t="s">
        <v>59</v>
      </c>
      <c r="AB323" s="41" t="s">
        <v>59</v>
      </c>
      <c r="AC323" s="16" t="s">
        <v>59</v>
      </c>
      <c r="AD323" s="42" t="s">
        <v>59</v>
      </c>
      <c r="AE323" s="42">
        <v>71.900000000000006</v>
      </c>
      <c r="AF323" s="42">
        <v>0</v>
      </c>
      <c r="AG323" s="43" t="s">
        <v>59</v>
      </c>
      <c r="AH323" s="43" t="s">
        <v>59</v>
      </c>
      <c r="AI323" s="43" t="s">
        <v>59</v>
      </c>
      <c r="AJ323" s="17" t="s">
        <v>59</v>
      </c>
      <c r="AK323" s="17" t="s">
        <v>59</v>
      </c>
      <c r="AL323" s="17">
        <v>25.812100000000001</v>
      </c>
      <c r="AM323" s="17" t="s">
        <v>59</v>
      </c>
      <c r="AN323" s="17" t="s">
        <v>59</v>
      </c>
      <c r="AO323" s="44" t="s">
        <v>61</v>
      </c>
    </row>
    <row r="324" spans="1:41" ht="12" customHeight="1" x14ac:dyDescent="0.35">
      <c r="A324" s="29" t="s">
        <v>96</v>
      </c>
      <c r="B324" s="30" t="s">
        <v>147</v>
      </c>
      <c r="C324" s="29">
        <v>14</v>
      </c>
      <c r="D324" s="29" t="s">
        <v>148</v>
      </c>
      <c r="E324" s="31" t="s">
        <v>149</v>
      </c>
      <c r="F324" s="29">
        <v>1206</v>
      </c>
      <c r="G324" s="29" t="s">
        <v>59</v>
      </c>
      <c r="H324" s="32">
        <v>46102</v>
      </c>
      <c r="I324" s="33">
        <v>46102</v>
      </c>
      <c r="J324" s="34" t="s">
        <v>71</v>
      </c>
      <c r="K324" s="35">
        <v>0.375</v>
      </c>
      <c r="L324" s="35">
        <v>0.54233796296296299</v>
      </c>
      <c r="M324" s="36">
        <v>0.41666666666666669</v>
      </c>
      <c r="N324" s="35">
        <v>0.58400462962962962</v>
      </c>
      <c r="O324" s="37">
        <f>IF(N324&gt;M324,N324-M324,(N324+1)-M324)</f>
        <v>0.16733796296296294</v>
      </c>
      <c r="P324" s="29" t="s">
        <v>150</v>
      </c>
      <c r="Q324" s="29" t="s">
        <v>150</v>
      </c>
      <c r="R324" s="29" t="s">
        <v>151</v>
      </c>
      <c r="S324" s="38" t="s">
        <v>46</v>
      </c>
      <c r="T324" s="39" t="s">
        <v>73</v>
      </c>
      <c r="U324" s="39" t="s">
        <v>59</v>
      </c>
      <c r="V324" s="38" t="s">
        <v>104</v>
      </c>
      <c r="W324" s="40" t="s">
        <v>59</v>
      </c>
      <c r="X324" s="13" t="s">
        <v>59</v>
      </c>
      <c r="Y324" s="13" t="s">
        <v>59</v>
      </c>
      <c r="Z324" s="13" t="s">
        <v>59</v>
      </c>
      <c r="AA324" s="13" t="s">
        <v>59</v>
      </c>
      <c r="AB324" s="41" t="s">
        <v>59</v>
      </c>
      <c r="AC324" s="16" t="s">
        <v>59</v>
      </c>
      <c r="AD324" s="42" t="s">
        <v>59</v>
      </c>
      <c r="AE324" s="42">
        <v>34.994</v>
      </c>
      <c r="AF324" s="42">
        <v>10</v>
      </c>
      <c r="AG324" s="43" t="s">
        <v>59</v>
      </c>
      <c r="AH324" s="43" t="s">
        <v>59</v>
      </c>
      <c r="AI324" s="43" t="s">
        <v>59</v>
      </c>
      <c r="AJ324" s="17" t="s">
        <v>59</v>
      </c>
      <c r="AK324" s="17" t="s">
        <v>59</v>
      </c>
      <c r="AL324" s="17">
        <v>26.2367515</v>
      </c>
      <c r="AM324" s="17" t="s">
        <v>59</v>
      </c>
      <c r="AN324" s="17" t="s">
        <v>59</v>
      </c>
      <c r="AO324" s="44" t="s">
        <v>61</v>
      </c>
    </row>
    <row r="325" spans="1:41" ht="12" customHeight="1" x14ac:dyDescent="0.35">
      <c r="A325" s="29" t="s">
        <v>96</v>
      </c>
      <c r="B325" s="30" t="s">
        <v>194</v>
      </c>
      <c r="C325" s="29">
        <v>23</v>
      </c>
      <c r="D325" s="29" t="s">
        <v>195</v>
      </c>
      <c r="E325" s="31" t="s">
        <v>196</v>
      </c>
      <c r="F325" s="29">
        <v>1253</v>
      </c>
      <c r="G325" s="29" t="s">
        <v>59</v>
      </c>
      <c r="H325" s="32">
        <v>46101</v>
      </c>
      <c r="I325" s="33">
        <v>46101</v>
      </c>
      <c r="J325" s="34" t="s">
        <v>79</v>
      </c>
      <c r="K325" s="35">
        <v>0.76607638888888885</v>
      </c>
      <c r="L325" s="35">
        <v>0.85636574074074079</v>
      </c>
      <c r="M325" s="36">
        <v>0.80774305555555559</v>
      </c>
      <c r="N325" s="35">
        <v>0.89803240740740742</v>
      </c>
      <c r="O325" s="37">
        <f>IF(N325&gt;M325,N325-M325,(N325+1)-M325)</f>
        <v>9.0289351851851829E-2</v>
      </c>
      <c r="P325" s="29" t="s">
        <v>197</v>
      </c>
      <c r="Q325" s="29" t="s">
        <v>197</v>
      </c>
      <c r="R325" s="29" t="s">
        <v>198</v>
      </c>
      <c r="S325" s="38" t="s">
        <v>46</v>
      </c>
      <c r="T325" s="39" t="s">
        <v>73</v>
      </c>
      <c r="U325" s="39" t="s">
        <v>59</v>
      </c>
      <c r="V325" s="38" t="s">
        <v>100</v>
      </c>
      <c r="W325" s="40" t="s">
        <v>59</v>
      </c>
      <c r="X325" s="13" t="s">
        <v>59</v>
      </c>
      <c r="Y325" s="13" t="s">
        <v>59</v>
      </c>
      <c r="Z325" s="13" t="s">
        <v>59</v>
      </c>
      <c r="AA325" s="13" t="s">
        <v>59</v>
      </c>
      <c r="AB325" s="41" t="s">
        <v>59</v>
      </c>
      <c r="AC325" s="16" t="s">
        <v>59</v>
      </c>
      <c r="AD325" s="42" t="s">
        <v>59</v>
      </c>
      <c r="AE325" s="42">
        <v>52.01</v>
      </c>
      <c r="AF325" s="42">
        <v>7.22</v>
      </c>
      <c r="AG325" s="43" t="s">
        <v>59</v>
      </c>
      <c r="AH325" s="43" t="s">
        <v>59</v>
      </c>
      <c r="AI325" s="43" t="s">
        <v>59</v>
      </c>
      <c r="AJ325" s="17" t="s">
        <v>59</v>
      </c>
      <c r="AK325" s="17" t="s">
        <v>59</v>
      </c>
      <c r="AL325" s="17">
        <v>26.334396666666667</v>
      </c>
      <c r="AM325" s="17" t="s">
        <v>59</v>
      </c>
      <c r="AN325" s="17" t="s">
        <v>59</v>
      </c>
      <c r="AO325" s="44" t="s">
        <v>61</v>
      </c>
    </row>
    <row r="326" spans="1:41" ht="12" customHeight="1" x14ac:dyDescent="0.35">
      <c r="A326" s="29" t="s">
        <v>96</v>
      </c>
      <c r="B326" s="30" t="s">
        <v>63</v>
      </c>
      <c r="C326" s="29">
        <v>20</v>
      </c>
      <c r="D326" s="29" t="s">
        <v>175</v>
      </c>
      <c r="E326" s="31" t="s">
        <v>176</v>
      </c>
      <c r="F326" s="29">
        <v>21659</v>
      </c>
      <c r="G326" s="29" t="s">
        <v>59</v>
      </c>
      <c r="H326" s="32">
        <v>46103</v>
      </c>
      <c r="I326" s="33">
        <v>46103</v>
      </c>
      <c r="J326" s="34" t="s">
        <v>74</v>
      </c>
      <c r="K326" s="35">
        <v>0.6875</v>
      </c>
      <c r="L326" s="35">
        <v>0.83263888888888893</v>
      </c>
      <c r="M326" s="36">
        <v>0.6875</v>
      </c>
      <c r="N326" s="35">
        <v>0.83263888888888893</v>
      </c>
      <c r="O326" s="37">
        <f>IF(N326&gt;M326,N326-M326,(N326+1)-M326)</f>
        <v>0.14513888888888893</v>
      </c>
      <c r="P326" s="29" t="s">
        <v>131</v>
      </c>
      <c r="Q326" s="29" t="s">
        <v>59</v>
      </c>
      <c r="R326" s="29" t="s">
        <v>131</v>
      </c>
      <c r="S326" s="38" t="s">
        <v>46</v>
      </c>
      <c r="T326" s="39" t="s">
        <v>73</v>
      </c>
      <c r="U326" s="39" t="s">
        <v>59</v>
      </c>
      <c r="V326" s="38" t="s">
        <v>107</v>
      </c>
      <c r="W326" s="40" t="s">
        <v>59</v>
      </c>
      <c r="X326" s="13" t="s">
        <v>59</v>
      </c>
      <c r="Y326" s="13" t="s">
        <v>59</v>
      </c>
      <c r="Z326" s="13" t="s">
        <v>59</v>
      </c>
      <c r="AA326" s="13" t="s">
        <v>59</v>
      </c>
      <c r="AB326" s="41" t="s">
        <v>59</v>
      </c>
      <c r="AC326" s="16" t="s">
        <v>59</v>
      </c>
      <c r="AD326" s="42" t="s">
        <v>59</v>
      </c>
      <c r="AE326" s="42">
        <v>95.9</v>
      </c>
      <c r="AF326" s="42">
        <v>10.14</v>
      </c>
      <c r="AG326" s="43" t="s">
        <v>59</v>
      </c>
      <c r="AH326" s="43" t="s">
        <v>59</v>
      </c>
      <c r="AI326" s="43" t="s">
        <v>59</v>
      </c>
      <c r="AJ326" s="17" t="s">
        <v>59</v>
      </c>
      <c r="AK326" s="17" t="s">
        <v>59</v>
      </c>
      <c r="AL326" s="17">
        <v>27.810999999999996</v>
      </c>
      <c r="AM326" s="17" t="s">
        <v>59</v>
      </c>
      <c r="AN326" s="17" t="s">
        <v>59</v>
      </c>
      <c r="AO326" s="44" t="s">
        <v>61</v>
      </c>
    </row>
    <row r="327" spans="1:41" ht="12" customHeight="1" x14ac:dyDescent="0.35">
      <c r="A327" s="29" t="s">
        <v>96</v>
      </c>
      <c r="B327" s="30" t="s">
        <v>266</v>
      </c>
      <c r="C327" s="29">
        <v>35</v>
      </c>
      <c r="D327" s="29" t="s">
        <v>267</v>
      </c>
      <c r="E327" s="31" t="s">
        <v>269</v>
      </c>
      <c r="F327" s="29">
        <v>2134</v>
      </c>
      <c r="G327" s="29" t="s">
        <v>59</v>
      </c>
      <c r="H327" s="32">
        <v>46103</v>
      </c>
      <c r="I327" s="33">
        <v>46103</v>
      </c>
      <c r="J327" s="34" t="s">
        <v>74</v>
      </c>
      <c r="K327" s="35">
        <v>0.70833333333333337</v>
      </c>
      <c r="L327" s="35">
        <v>0.84375</v>
      </c>
      <c r="M327" s="36">
        <v>0.70833333333333337</v>
      </c>
      <c r="N327" s="35">
        <v>0.84375</v>
      </c>
      <c r="O327" s="37">
        <f>IF(N327&gt;M327,N327-M327,(N327+1)-M327)</f>
        <v>0.13541666666666663</v>
      </c>
      <c r="P327" s="29" t="s">
        <v>268</v>
      </c>
      <c r="Q327" s="29" t="s">
        <v>59</v>
      </c>
      <c r="R327" s="29" t="s">
        <v>268</v>
      </c>
      <c r="S327" s="38" t="s">
        <v>46</v>
      </c>
      <c r="T327" s="39" t="s">
        <v>73</v>
      </c>
      <c r="U327" s="39" t="s">
        <v>59</v>
      </c>
      <c r="V327" s="38" t="s">
        <v>107</v>
      </c>
      <c r="W327" s="40" t="s">
        <v>59</v>
      </c>
      <c r="X327" s="13" t="s">
        <v>59</v>
      </c>
      <c r="Y327" s="13" t="s">
        <v>59</v>
      </c>
      <c r="Z327" s="13" t="s">
        <v>59</v>
      </c>
      <c r="AA327" s="13" t="s">
        <v>59</v>
      </c>
      <c r="AB327" s="41" t="s">
        <v>59</v>
      </c>
      <c r="AC327" s="16" t="s">
        <v>59</v>
      </c>
      <c r="AD327" s="42" t="s">
        <v>59</v>
      </c>
      <c r="AE327" s="42">
        <v>80.400000000000006</v>
      </c>
      <c r="AF327" s="42">
        <v>0</v>
      </c>
      <c r="AG327" s="43" t="s">
        <v>59</v>
      </c>
      <c r="AH327" s="43" t="s">
        <v>59</v>
      </c>
      <c r="AI327" s="43" t="s">
        <v>59</v>
      </c>
      <c r="AJ327" s="17" t="s">
        <v>59</v>
      </c>
      <c r="AK327" s="17" t="s">
        <v>59</v>
      </c>
      <c r="AL327" s="17">
        <v>28.863600000000002</v>
      </c>
      <c r="AM327" s="17" t="s">
        <v>59</v>
      </c>
      <c r="AN327" s="17" t="s">
        <v>59</v>
      </c>
      <c r="AO327" s="44" t="s">
        <v>61</v>
      </c>
    </row>
    <row r="328" spans="1:41" ht="12" customHeight="1" x14ac:dyDescent="0.35">
      <c r="A328" s="29" t="s">
        <v>96</v>
      </c>
      <c r="B328" s="30" t="s">
        <v>132</v>
      </c>
      <c r="C328" s="29">
        <v>10</v>
      </c>
      <c r="D328" s="29" t="s">
        <v>133</v>
      </c>
      <c r="E328" s="31" t="s">
        <v>134</v>
      </c>
      <c r="F328" s="29">
        <v>1092</v>
      </c>
      <c r="G328" s="29" t="s">
        <v>59</v>
      </c>
      <c r="H328" s="32">
        <v>46102</v>
      </c>
      <c r="I328" s="33">
        <v>46102</v>
      </c>
      <c r="J328" s="34" t="s">
        <v>71</v>
      </c>
      <c r="K328" s="35">
        <v>0.51380787037037035</v>
      </c>
      <c r="L328" s="35">
        <v>0.51960648148148147</v>
      </c>
      <c r="M328" s="36">
        <v>0.55547453703703709</v>
      </c>
      <c r="N328" s="35">
        <v>0.5612731481481481</v>
      </c>
      <c r="O328" s="37">
        <f>IF(N328&gt;M328,N328-M328,(N328+1)-M328)</f>
        <v>5.7986111111110183E-3</v>
      </c>
      <c r="P328" s="29" t="s">
        <v>135</v>
      </c>
      <c r="Q328" s="29" t="s">
        <v>136</v>
      </c>
      <c r="R328" s="29" t="s">
        <v>137</v>
      </c>
      <c r="S328" s="38" t="s">
        <v>49</v>
      </c>
      <c r="T328" s="39" t="s">
        <v>73</v>
      </c>
      <c r="U328" s="39" t="s">
        <v>59</v>
      </c>
      <c r="V328" s="38" t="s">
        <v>104</v>
      </c>
      <c r="W328" s="40" t="s">
        <v>59</v>
      </c>
      <c r="X328" s="13" t="s">
        <v>59</v>
      </c>
      <c r="Y328" s="13" t="s">
        <v>59</v>
      </c>
      <c r="Z328" s="13" t="s">
        <v>59</v>
      </c>
      <c r="AA328" s="13" t="s">
        <v>59</v>
      </c>
      <c r="AB328" s="41" t="s">
        <v>59</v>
      </c>
      <c r="AC328" s="16" t="s">
        <v>59</v>
      </c>
      <c r="AD328" s="42" t="s">
        <v>59</v>
      </c>
      <c r="AE328" s="42">
        <v>100.7</v>
      </c>
      <c r="AF328" s="42">
        <v>13.33</v>
      </c>
      <c r="AG328" s="43" t="s">
        <v>59</v>
      </c>
      <c r="AH328" s="43" t="s">
        <v>59</v>
      </c>
      <c r="AI328" s="43" t="s">
        <v>59</v>
      </c>
      <c r="AJ328" s="17" t="s">
        <v>59</v>
      </c>
      <c r="AK328" s="17" t="s">
        <v>59</v>
      </c>
      <c r="AL328" s="17">
        <v>31.587040365436231</v>
      </c>
      <c r="AM328" s="17" t="s">
        <v>59</v>
      </c>
      <c r="AN328" s="17" t="s">
        <v>59</v>
      </c>
      <c r="AO328" s="44" t="s">
        <v>61</v>
      </c>
    </row>
    <row r="329" spans="1:41" ht="12" customHeight="1" x14ac:dyDescent="0.35">
      <c r="A329" s="29" t="s">
        <v>96</v>
      </c>
      <c r="B329" s="30" t="s">
        <v>132</v>
      </c>
      <c r="C329" s="29">
        <v>10</v>
      </c>
      <c r="D329" s="29" t="s">
        <v>133</v>
      </c>
      <c r="E329" s="31" t="s">
        <v>134</v>
      </c>
      <c r="F329" s="29">
        <v>1092</v>
      </c>
      <c r="G329" s="29" t="s">
        <v>59</v>
      </c>
      <c r="H329" s="32">
        <v>46102</v>
      </c>
      <c r="I329" s="33">
        <v>46102</v>
      </c>
      <c r="J329" s="34" t="s">
        <v>71</v>
      </c>
      <c r="K329" s="35">
        <v>0.4495601851851852</v>
      </c>
      <c r="L329" s="35">
        <v>0.47547453703703701</v>
      </c>
      <c r="M329" s="36">
        <v>0.49122685185185183</v>
      </c>
      <c r="N329" s="35">
        <v>0.51714120370370376</v>
      </c>
      <c r="O329" s="37">
        <f>IF(N329&gt;M329,N329-M329,(N329+1)-M329)</f>
        <v>2.5914351851851924E-2</v>
      </c>
      <c r="P329" s="29" t="s">
        <v>135</v>
      </c>
      <c r="Q329" s="29" t="s">
        <v>136</v>
      </c>
      <c r="R329" s="29" t="s">
        <v>137</v>
      </c>
      <c r="S329" s="38" t="s">
        <v>46</v>
      </c>
      <c r="T329" s="39" t="s">
        <v>73</v>
      </c>
      <c r="U329" s="39" t="s">
        <v>59</v>
      </c>
      <c r="V329" s="38" t="s">
        <v>104</v>
      </c>
      <c r="W329" s="40" t="s">
        <v>59</v>
      </c>
      <c r="X329" s="13" t="s">
        <v>59</v>
      </c>
      <c r="Y329" s="13" t="s">
        <v>59</v>
      </c>
      <c r="Z329" s="13" t="s">
        <v>59</v>
      </c>
      <c r="AA329" s="13" t="s">
        <v>59</v>
      </c>
      <c r="AB329" s="41" t="s">
        <v>59</v>
      </c>
      <c r="AC329" s="16" t="s">
        <v>59</v>
      </c>
      <c r="AD329" s="42" t="s">
        <v>59</v>
      </c>
      <c r="AE329" s="42">
        <v>45.8</v>
      </c>
      <c r="AF329" s="42">
        <v>6.37</v>
      </c>
      <c r="AG329" s="43" t="s">
        <v>59</v>
      </c>
      <c r="AH329" s="43" t="s">
        <v>59</v>
      </c>
      <c r="AI329" s="43" t="s">
        <v>59</v>
      </c>
      <c r="AJ329" s="17" t="s">
        <v>59</v>
      </c>
      <c r="AK329" s="17" t="s">
        <v>59</v>
      </c>
      <c r="AL329" s="17">
        <v>32.973482454961832</v>
      </c>
      <c r="AM329" s="17" t="s">
        <v>59</v>
      </c>
      <c r="AN329" s="17" t="s">
        <v>59</v>
      </c>
      <c r="AO329" s="44" t="s">
        <v>61</v>
      </c>
    </row>
    <row r="330" spans="1:41" ht="12" customHeight="1" x14ac:dyDescent="0.35">
      <c r="A330" s="29" t="s">
        <v>96</v>
      </c>
      <c r="B330" s="30" t="s">
        <v>132</v>
      </c>
      <c r="C330" s="29">
        <v>10</v>
      </c>
      <c r="D330" s="29" t="s">
        <v>133</v>
      </c>
      <c r="E330" s="31" t="s">
        <v>134</v>
      </c>
      <c r="F330" s="29">
        <v>1092</v>
      </c>
      <c r="G330" s="29" t="s">
        <v>59</v>
      </c>
      <c r="H330" s="32">
        <v>46102</v>
      </c>
      <c r="I330" s="33">
        <v>46102</v>
      </c>
      <c r="J330" s="34" t="s">
        <v>71</v>
      </c>
      <c r="K330" s="35">
        <v>0.72905092592592591</v>
      </c>
      <c r="L330" s="35">
        <v>0.85240740740740739</v>
      </c>
      <c r="M330" s="36">
        <v>0.77071759259259254</v>
      </c>
      <c r="N330" s="35">
        <v>0.89407407407407402</v>
      </c>
      <c r="O330" s="37">
        <f>IF(N330&gt;M330,N330-M330,(N330+1)-M330)</f>
        <v>0.12335648148148148</v>
      </c>
      <c r="P330" s="29" t="s">
        <v>135</v>
      </c>
      <c r="Q330" s="29" t="s">
        <v>136</v>
      </c>
      <c r="R330" s="29" t="s">
        <v>137</v>
      </c>
      <c r="S330" s="38" t="s">
        <v>46</v>
      </c>
      <c r="T330" s="39" t="s">
        <v>73</v>
      </c>
      <c r="U330" s="39" t="s">
        <v>59</v>
      </c>
      <c r="V330" s="38" t="s">
        <v>104</v>
      </c>
      <c r="W330" s="40" t="s">
        <v>59</v>
      </c>
      <c r="X330" s="13" t="s">
        <v>59</v>
      </c>
      <c r="Y330" s="13" t="s">
        <v>59</v>
      </c>
      <c r="Z330" s="13" t="s">
        <v>59</v>
      </c>
      <c r="AA330" s="13" t="s">
        <v>59</v>
      </c>
      <c r="AB330" s="41" t="s">
        <v>59</v>
      </c>
      <c r="AC330" s="16" t="s">
        <v>59</v>
      </c>
      <c r="AD330" s="42" t="s">
        <v>59</v>
      </c>
      <c r="AE330" s="42">
        <v>76.7</v>
      </c>
      <c r="AF330" s="42">
        <v>5.65</v>
      </c>
      <c r="AG330" s="43" t="s">
        <v>59</v>
      </c>
      <c r="AH330" s="43" t="s">
        <v>59</v>
      </c>
      <c r="AI330" s="43" t="s">
        <v>59</v>
      </c>
      <c r="AJ330" s="17" t="s">
        <v>59</v>
      </c>
      <c r="AK330" s="17" t="s">
        <v>59</v>
      </c>
      <c r="AL330" s="17">
        <v>32.973482454961832</v>
      </c>
      <c r="AM330" s="17" t="s">
        <v>59</v>
      </c>
      <c r="AN330" s="17" t="s">
        <v>59</v>
      </c>
      <c r="AO330" s="44" t="s">
        <v>61</v>
      </c>
    </row>
    <row r="331" spans="1:41" ht="12" customHeight="1" x14ac:dyDescent="0.35">
      <c r="A331" s="29" t="s">
        <v>96</v>
      </c>
      <c r="B331" s="30" t="s">
        <v>132</v>
      </c>
      <c r="C331" s="29">
        <v>10</v>
      </c>
      <c r="D331" s="29" t="s">
        <v>133</v>
      </c>
      <c r="E331" s="31" t="s">
        <v>134</v>
      </c>
      <c r="F331" s="29">
        <v>1092</v>
      </c>
      <c r="G331" s="29" t="s">
        <v>59</v>
      </c>
      <c r="H331" s="32">
        <v>46103</v>
      </c>
      <c r="I331" s="33">
        <v>46103</v>
      </c>
      <c r="J331" s="34" t="s">
        <v>74</v>
      </c>
      <c r="K331" s="35">
        <v>0.70475694444444448</v>
      </c>
      <c r="L331" s="35">
        <v>0.83096064814814818</v>
      </c>
      <c r="M331" s="36">
        <v>0.74642361111111111</v>
      </c>
      <c r="N331" s="35">
        <v>0.87262731481481481</v>
      </c>
      <c r="O331" s="37">
        <f>IF(N331&gt;M331,N331-M331,(N331+1)-M331)</f>
        <v>0.12620370370370371</v>
      </c>
      <c r="P331" s="29" t="s">
        <v>135</v>
      </c>
      <c r="Q331" s="29" t="s">
        <v>136</v>
      </c>
      <c r="R331" s="29" t="s">
        <v>137</v>
      </c>
      <c r="S331" s="38" t="s">
        <v>46</v>
      </c>
      <c r="T331" s="39" t="s">
        <v>73</v>
      </c>
      <c r="U331" s="39" t="s">
        <v>59</v>
      </c>
      <c r="V331" s="38" t="s">
        <v>107</v>
      </c>
      <c r="W331" s="40" t="s">
        <v>59</v>
      </c>
      <c r="X331" s="13" t="s">
        <v>59</v>
      </c>
      <c r="Y331" s="13" t="s">
        <v>59</v>
      </c>
      <c r="Z331" s="13" t="s">
        <v>59</v>
      </c>
      <c r="AA331" s="13" t="s">
        <v>59</v>
      </c>
      <c r="AB331" s="41" t="s">
        <v>59</v>
      </c>
      <c r="AC331" s="16" t="s">
        <v>59</v>
      </c>
      <c r="AD331" s="42" t="s">
        <v>59</v>
      </c>
      <c r="AE331" s="42">
        <v>103.1</v>
      </c>
      <c r="AF331" s="42">
        <v>6.94</v>
      </c>
      <c r="AG331" s="43" t="s">
        <v>59</v>
      </c>
      <c r="AH331" s="43" t="s">
        <v>59</v>
      </c>
      <c r="AI331" s="43" t="s">
        <v>59</v>
      </c>
      <c r="AJ331" s="17" t="s">
        <v>59</v>
      </c>
      <c r="AK331" s="17" t="s">
        <v>59</v>
      </c>
      <c r="AL331" s="17">
        <v>32.973482454961832</v>
      </c>
      <c r="AM331" s="17" t="s">
        <v>59</v>
      </c>
      <c r="AN331" s="17" t="s">
        <v>59</v>
      </c>
      <c r="AO331" s="44" t="s">
        <v>61</v>
      </c>
    </row>
    <row r="332" spans="1:41" ht="12" customHeight="1" x14ac:dyDescent="0.35">
      <c r="A332" s="29" t="s">
        <v>76</v>
      </c>
      <c r="B332" s="30" t="s">
        <v>62</v>
      </c>
      <c r="C332" s="29">
        <v>48</v>
      </c>
      <c r="D332" s="29" t="s">
        <v>77</v>
      </c>
      <c r="E332" s="31" t="s">
        <v>78</v>
      </c>
      <c r="F332" s="29">
        <v>5163</v>
      </c>
      <c r="G332" s="29"/>
      <c r="H332" s="32">
        <v>46102</v>
      </c>
      <c r="I332" s="33">
        <v>46102</v>
      </c>
      <c r="J332" s="34" t="s">
        <v>71</v>
      </c>
      <c r="K332" s="35">
        <v>0.37569444444444444</v>
      </c>
      <c r="L332" s="35">
        <v>0.54894675925925929</v>
      </c>
      <c r="M332" s="36">
        <v>0.83402777777777781</v>
      </c>
      <c r="N332" s="35">
        <v>7.2800925925925923E-3</v>
      </c>
      <c r="O332" s="37">
        <f>IF(N332&gt;M332,N332-M332,(N332+1)-M332)</f>
        <v>0.17325231481481485</v>
      </c>
      <c r="P332" s="29" t="s">
        <v>80</v>
      </c>
      <c r="Q332" s="29" t="s">
        <v>87</v>
      </c>
      <c r="R332" s="29" t="s">
        <v>88</v>
      </c>
      <c r="S332" s="38" t="s">
        <v>46</v>
      </c>
      <c r="T332" s="39" t="s">
        <v>73</v>
      </c>
      <c r="U332" s="39" t="s">
        <v>59</v>
      </c>
      <c r="V332" s="38" t="s">
        <v>104</v>
      </c>
      <c r="W332" s="40" t="s">
        <v>59</v>
      </c>
      <c r="X332" s="13" t="s">
        <v>59</v>
      </c>
      <c r="Y332" s="13" t="s">
        <v>59</v>
      </c>
      <c r="Z332" s="13" t="s">
        <v>59</v>
      </c>
      <c r="AA332" s="13" t="s">
        <v>59</v>
      </c>
      <c r="AB332" s="41" t="s">
        <v>59</v>
      </c>
      <c r="AC332" s="16" t="s">
        <v>59</v>
      </c>
      <c r="AD332" s="42" t="s">
        <v>59</v>
      </c>
      <c r="AE332" s="42">
        <v>44</v>
      </c>
      <c r="AF332" s="42">
        <v>0.16</v>
      </c>
      <c r="AG332" s="43" t="s">
        <v>59</v>
      </c>
      <c r="AH332" s="43" t="s">
        <v>59</v>
      </c>
      <c r="AI332" s="43" t="s">
        <v>59</v>
      </c>
      <c r="AJ332" s="17" t="s">
        <v>59</v>
      </c>
      <c r="AK332" s="17" t="s">
        <v>59</v>
      </c>
      <c r="AL332" s="17">
        <v>33.791073783206109</v>
      </c>
      <c r="AM332" s="17" t="s">
        <v>59</v>
      </c>
      <c r="AN332" s="17" t="s">
        <v>59</v>
      </c>
      <c r="AO332" s="44" t="s">
        <v>61</v>
      </c>
    </row>
    <row r="333" spans="1:41" ht="12" customHeight="1" x14ac:dyDescent="0.35">
      <c r="A333" s="29" t="s">
        <v>96</v>
      </c>
      <c r="B333" s="30" t="s">
        <v>194</v>
      </c>
      <c r="C333" s="29">
        <v>23</v>
      </c>
      <c r="D333" s="29" t="s">
        <v>195</v>
      </c>
      <c r="E333" s="31" t="s">
        <v>196</v>
      </c>
      <c r="F333" s="29">
        <v>1253</v>
      </c>
      <c r="G333" s="29" t="s">
        <v>59</v>
      </c>
      <c r="H333" s="32">
        <v>46102</v>
      </c>
      <c r="I333" s="33">
        <v>46102</v>
      </c>
      <c r="J333" s="34" t="s">
        <v>71</v>
      </c>
      <c r="K333" s="35">
        <v>0.72222222222222221</v>
      </c>
      <c r="L333" s="35">
        <v>0.85341435185185188</v>
      </c>
      <c r="M333" s="36">
        <v>0.76388888888888884</v>
      </c>
      <c r="N333" s="35">
        <v>0.89508101851851851</v>
      </c>
      <c r="O333" s="37">
        <f>IF(N333&gt;M333,N333-M333,(N333+1)-M333)</f>
        <v>0.13119212962962967</v>
      </c>
      <c r="P333" s="29" t="s">
        <v>197</v>
      </c>
      <c r="Q333" s="29" t="s">
        <v>197</v>
      </c>
      <c r="R333" s="29" t="s">
        <v>198</v>
      </c>
      <c r="S333" s="38" t="s">
        <v>46</v>
      </c>
      <c r="T333" s="39" t="s">
        <v>73</v>
      </c>
      <c r="U333" s="39" t="s">
        <v>59</v>
      </c>
      <c r="V333" s="38" t="s">
        <v>104</v>
      </c>
      <c r="W333" s="40" t="s">
        <v>59</v>
      </c>
      <c r="X333" s="13" t="s">
        <v>59</v>
      </c>
      <c r="Y333" s="13" t="s">
        <v>59</v>
      </c>
      <c r="Z333" s="13" t="s">
        <v>59</v>
      </c>
      <c r="AA333" s="13" t="s">
        <v>59</v>
      </c>
      <c r="AB333" s="41" t="s">
        <v>59</v>
      </c>
      <c r="AC333" s="16" t="s">
        <v>59</v>
      </c>
      <c r="AD333" s="42" t="s">
        <v>59</v>
      </c>
      <c r="AE333" s="42">
        <v>67.44</v>
      </c>
      <c r="AF333" s="42">
        <v>11.46</v>
      </c>
      <c r="AG333" s="43" t="s">
        <v>59</v>
      </c>
      <c r="AH333" s="43" t="s">
        <v>59</v>
      </c>
      <c r="AI333" s="43" t="s">
        <v>59</v>
      </c>
      <c r="AJ333" s="17" t="s">
        <v>59</v>
      </c>
      <c r="AK333" s="17" t="s">
        <v>59</v>
      </c>
      <c r="AL333" s="17">
        <v>34.147119999999994</v>
      </c>
      <c r="AM333" s="17" t="s">
        <v>59</v>
      </c>
      <c r="AN333" s="17" t="s">
        <v>59</v>
      </c>
      <c r="AO333" s="44" t="s">
        <v>61</v>
      </c>
    </row>
    <row r="334" spans="1:41" ht="12" customHeight="1" x14ac:dyDescent="0.35">
      <c r="A334" s="29" t="s">
        <v>96</v>
      </c>
      <c r="B334" s="30" t="s">
        <v>234</v>
      </c>
      <c r="C334" s="29">
        <v>29</v>
      </c>
      <c r="D334" s="29" t="s">
        <v>235</v>
      </c>
      <c r="E334" s="31" t="s">
        <v>236</v>
      </c>
      <c r="F334" s="29">
        <v>1232</v>
      </c>
      <c r="G334" s="29" t="s">
        <v>59</v>
      </c>
      <c r="H334" s="32">
        <v>46102</v>
      </c>
      <c r="I334" s="33">
        <v>46102</v>
      </c>
      <c r="J334" s="34" t="s">
        <v>71</v>
      </c>
      <c r="K334" s="35">
        <v>0.375</v>
      </c>
      <c r="L334" s="35">
        <v>0.54165509259259259</v>
      </c>
      <c r="M334" s="36">
        <v>0.41666666666666669</v>
      </c>
      <c r="N334" s="35">
        <v>0.58332175925925922</v>
      </c>
      <c r="O334" s="37">
        <f>IF(N334&gt;M334,N334-M334,(N334+1)-M334)</f>
        <v>0.16665509259259254</v>
      </c>
      <c r="P334" s="29" t="s">
        <v>237</v>
      </c>
      <c r="Q334" s="29" t="s">
        <v>59</v>
      </c>
      <c r="R334" s="29" t="s">
        <v>237</v>
      </c>
      <c r="S334" s="38" t="s">
        <v>46</v>
      </c>
      <c r="T334" s="39" t="s">
        <v>73</v>
      </c>
      <c r="U334" s="39" t="s">
        <v>59</v>
      </c>
      <c r="V334" s="38" t="s">
        <v>104</v>
      </c>
      <c r="W334" s="40" t="s">
        <v>59</v>
      </c>
      <c r="X334" s="13" t="s">
        <v>59</v>
      </c>
      <c r="Y334" s="13" t="s">
        <v>59</v>
      </c>
      <c r="Z334" s="13" t="s">
        <v>59</v>
      </c>
      <c r="AA334" s="13" t="s">
        <v>59</v>
      </c>
      <c r="AB334" s="41" t="s">
        <v>59</v>
      </c>
      <c r="AC334" s="16" t="s">
        <v>59</v>
      </c>
      <c r="AD334" s="42" t="s">
        <v>59</v>
      </c>
      <c r="AE334" s="42">
        <v>105.32299999999999</v>
      </c>
      <c r="AF334" s="42">
        <v>17.579999999999998</v>
      </c>
      <c r="AG334" s="43" t="s">
        <v>59</v>
      </c>
      <c r="AH334" s="43" t="s">
        <v>59</v>
      </c>
      <c r="AI334" s="43" t="s">
        <v>59</v>
      </c>
      <c r="AJ334" s="17" t="s">
        <v>59</v>
      </c>
      <c r="AK334" s="17" t="s">
        <v>59</v>
      </c>
      <c r="AL334" s="17">
        <v>34.754670833071934</v>
      </c>
      <c r="AM334" s="17" t="s">
        <v>59</v>
      </c>
      <c r="AN334" s="17" t="s">
        <v>59</v>
      </c>
      <c r="AO334" s="44" t="s">
        <v>61</v>
      </c>
    </row>
    <row r="335" spans="1:41" ht="12" customHeight="1" x14ac:dyDescent="0.35">
      <c r="A335" s="29" t="s">
        <v>96</v>
      </c>
      <c r="B335" s="30" t="s">
        <v>64</v>
      </c>
      <c r="C335" s="29">
        <v>19</v>
      </c>
      <c r="D335" s="29" t="s">
        <v>177</v>
      </c>
      <c r="E335" s="31" t="s">
        <v>178</v>
      </c>
      <c r="F335" s="29">
        <v>2925</v>
      </c>
      <c r="G335" s="29" t="s">
        <v>59</v>
      </c>
      <c r="H335" s="32">
        <v>46101</v>
      </c>
      <c r="I335" s="33">
        <v>46101</v>
      </c>
      <c r="J335" s="34" t="s">
        <v>79</v>
      </c>
      <c r="K335" s="35">
        <v>0.37680555555555556</v>
      </c>
      <c r="L335" s="35">
        <v>0.5417939814814815</v>
      </c>
      <c r="M335" s="36">
        <v>0.41847222222222225</v>
      </c>
      <c r="N335" s="35">
        <v>0.58346064814814813</v>
      </c>
      <c r="O335" s="37">
        <f>IF(N335&gt;M335,N335-M335,(N335+1)-M335)</f>
        <v>0.16498842592592589</v>
      </c>
      <c r="P335" s="29" t="s">
        <v>179</v>
      </c>
      <c r="Q335" s="29" t="s">
        <v>180</v>
      </c>
      <c r="R335" s="29" t="s">
        <v>181</v>
      </c>
      <c r="S335" s="38" t="s">
        <v>46</v>
      </c>
      <c r="T335" s="39" t="s">
        <v>73</v>
      </c>
      <c r="U335" s="39" t="s">
        <v>59</v>
      </c>
      <c r="V335" s="38" t="s">
        <v>100</v>
      </c>
      <c r="W335" s="40" t="s">
        <v>59</v>
      </c>
      <c r="X335" s="13" t="s">
        <v>59</v>
      </c>
      <c r="Y335" s="13" t="s">
        <v>59</v>
      </c>
      <c r="Z335" s="13" t="s">
        <v>59</v>
      </c>
      <c r="AA335" s="13" t="s">
        <v>59</v>
      </c>
      <c r="AB335" s="41" t="s">
        <v>59</v>
      </c>
      <c r="AC335" s="16" t="s">
        <v>59</v>
      </c>
      <c r="AD335" s="42" t="s">
        <v>59</v>
      </c>
      <c r="AE335" s="42">
        <v>70.2</v>
      </c>
      <c r="AF335" s="42">
        <v>0.95</v>
      </c>
      <c r="AG335" s="43" t="s">
        <v>59</v>
      </c>
      <c r="AH335" s="43" t="s">
        <v>59</v>
      </c>
      <c r="AI335" s="43" t="s">
        <v>59</v>
      </c>
      <c r="AJ335" s="17" t="s">
        <v>59</v>
      </c>
      <c r="AK335" s="17" t="s">
        <v>59</v>
      </c>
      <c r="AL335" s="17">
        <v>34.882485001937034</v>
      </c>
      <c r="AM335" s="17" t="s">
        <v>59</v>
      </c>
      <c r="AN335" s="17" t="s">
        <v>59</v>
      </c>
      <c r="AO335" s="44" t="s">
        <v>61</v>
      </c>
    </row>
    <row r="336" spans="1:41" ht="12" customHeight="1" x14ac:dyDescent="0.35">
      <c r="A336" s="29" t="s">
        <v>76</v>
      </c>
      <c r="B336" s="30" t="s">
        <v>62</v>
      </c>
      <c r="C336" s="29">
        <v>48</v>
      </c>
      <c r="D336" s="29" t="s">
        <v>77</v>
      </c>
      <c r="E336" s="31" t="s">
        <v>78</v>
      </c>
      <c r="F336" s="29">
        <v>5163</v>
      </c>
      <c r="G336" s="29"/>
      <c r="H336" s="32">
        <v>46101</v>
      </c>
      <c r="I336" s="33">
        <v>46101</v>
      </c>
      <c r="J336" s="34" t="s">
        <v>79</v>
      </c>
      <c r="K336" s="35">
        <v>0.37569444444444444</v>
      </c>
      <c r="L336" s="35">
        <v>0.54883101851851857</v>
      </c>
      <c r="M336" s="36">
        <v>0.83402777777777781</v>
      </c>
      <c r="N336" s="35">
        <v>7.1643518518518514E-3</v>
      </c>
      <c r="O336" s="37">
        <f>IF(N336&gt;M336,N336-M336,(N336+1)-M336)</f>
        <v>0.17313657407407401</v>
      </c>
      <c r="P336" s="29" t="s">
        <v>80</v>
      </c>
      <c r="Q336" s="29" t="s">
        <v>81</v>
      </c>
      <c r="R336" s="29" t="s">
        <v>82</v>
      </c>
      <c r="S336" s="38" t="s">
        <v>46</v>
      </c>
      <c r="T336" s="39" t="s">
        <v>73</v>
      </c>
      <c r="U336" s="39" t="s">
        <v>59</v>
      </c>
      <c r="V336" s="38" t="s">
        <v>100</v>
      </c>
      <c r="W336" s="40" t="s">
        <v>59</v>
      </c>
      <c r="X336" s="13" t="s">
        <v>59</v>
      </c>
      <c r="Y336" s="13" t="s">
        <v>59</v>
      </c>
      <c r="Z336" s="13" t="s">
        <v>59</v>
      </c>
      <c r="AA336" s="13" t="s">
        <v>59</v>
      </c>
      <c r="AB336" s="41" t="s">
        <v>59</v>
      </c>
      <c r="AC336" s="16" t="s">
        <v>59</v>
      </c>
      <c r="AD336" s="42" t="s">
        <v>59</v>
      </c>
      <c r="AE336" s="42">
        <v>47</v>
      </c>
      <c r="AF336" s="42">
        <v>0.17</v>
      </c>
      <c r="AG336" s="43" t="s">
        <v>59</v>
      </c>
      <c r="AH336" s="43" t="s">
        <v>59</v>
      </c>
      <c r="AI336" s="43" t="s">
        <v>59</v>
      </c>
      <c r="AJ336" s="17" t="s">
        <v>59</v>
      </c>
      <c r="AK336" s="17" t="s">
        <v>59</v>
      </c>
      <c r="AL336" s="17">
        <v>36.042585053800991</v>
      </c>
      <c r="AM336" s="17" t="s">
        <v>59</v>
      </c>
      <c r="AN336" s="17" t="s">
        <v>59</v>
      </c>
      <c r="AO336" s="44" t="s">
        <v>61</v>
      </c>
    </row>
    <row r="337" spans="1:41" ht="12" customHeight="1" x14ac:dyDescent="0.35">
      <c r="A337" s="29" t="s">
        <v>76</v>
      </c>
      <c r="B337" s="30" t="s">
        <v>62</v>
      </c>
      <c r="C337" s="29">
        <v>48</v>
      </c>
      <c r="D337" s="29" t="s">
        <v>77</v>
      </c>
      <c r="E337" s="31" t="s">
        <v>78</v>
      </c>
      <c r="F337" s="29">
        <v>5163</v>
      </c>
      <c r="G337" s="29"/>
      <c r="H337" s="32">
        <v>46103</v>
      </c>
      <c r="I337" s="33">
        <v>46103</v>
      </c>
      <c r="J337" s="34" t="s">
        <v>74</v>
      </c>
      <c r="K337" s="35">
        <v>0.37569444444444444</v>
      </c>
      <c r="L337" s="35">
        <v>0.54883101851851857</v>
      </c>
      <c r="M337" s="36">
        <v>0.83402777777777781</v>
      </c>
      <c r="N337" s="35">
        <v>7.1643518518518514E-3</v>
      </c>
      <c r="O337" s="37">
        <f>IF(N337&gt;M337,N337-M337,(N337+1)-M337)</f>
        <v>0.17313657407407401</v>
      </c>
      <c r="P337" s="29" t="s">
        <v>80</v>
      </c>
      <c r="Q337" s="29" t="s">
        <v>92</v>
      </c>
      <c r="R337" s="29" t="s">
        <v>93</v>
      </c>
      <c r="S337" s="38" t="s">
        <v>46</v>
      </c>
      <c r="T337" s="39" t="s">
        <v>73</v>
      </c>
      <c r="U337" s="39" t="s">
        <v>59</v>
      </c>
      <c r="V337" s="38" t="s">
        <v>107</v>
      </c>
      <c r="W337" s="40" t="s">
        <v>59</v>
      </c>
      <c r="X337" s="13" t="s">
        <v>59</v>
      </c>
      <c r="Y337" s="13" t="s">
        <v>59</v>
      </c>
      <c r="Z337" s="13" t="s">
        <v>59</v>
      </c>
      <c r="AA337" s="13" t="s">
        <v>59</v>
      </c>
      <c r="AB337" s="41" t="s">
        <v>59</v>
      </c>
      <c r="AC337" s="16" t="s">
        <v>59</v>
      </c>
      <c r="AD337" s="42" t="s">
        <v>59</v>
      </c>
      <c r="AE337" s="42">
        <v>59</v>
      </c>
      <c r="AF337" s="42">
        <v>0.21</v>
      </c>
      <c r="AG337" s="43" t="s">
        <v>59</v>
      </c>
      <c r="AH337" s="43" t="s">
        <v>59</v>
      </c>
      <c r="AI337" s="43" t="s">
        <v>59</v>
      </c>
      <c r="AJ337" s="17" t="s">
        <v>59</v>
      </c>
      <c r="AK337" s="17" t="s">
        <v>59</v>
      </c>
      <c r="AL337" s="17">
        <v>45.244947195196993</v>
      </c>
      <c r="AM337" s="17" t="s">
        <v>59</v>
      </c>
      <c r="AN337" s="17" t="s">
        <v>59</v>
      </c>
      <c r="AO337" s="44" t="s">
        <v>61</v>
      </c>
    </row>
    <row r="338" spans="1:41" ht="12" customHeight="1" x14ac:dyDescent="0.35">
      <c r="A338" s="29" t="s">
        <v>96</v>
      </c>
      <c r="B338" s="30" t="s">
        <v>188</v>
      </c>
      <c r="C338" s="29">
        <v>24</v>
      </c>
      <c r="D338" s="29" t="s">
        <v>189</v>
      </c>
      <c r="E338" s="31" t="s">
        <v>190</v>
      </c>
      <c r="F338" s="29">
        <v>5996</v>
      </c>
      <c r="G338" s="29" t="s">
        <v>59</v>
      </c>
      <c r="H338" s="32">
        <v>46101</v>
      </c>
      <c r="I338" s="33">
        <v>46101</v>
      </c>
      <c r="J338" s="34" t="s">
        <v>79</v>
      </c>
      <c r="K338" s="35">
        <v>0.79791666666666672</v>
      </c>
      <c r="L338" s="35">
        <v>0.85624999999999996</v>
      </c>
      <c r="M338" s="36">
        <v>0.83958333333333335</v>
      </c>
      <c r="N338" s="35">
        <v>0.8979166666666667</v>
      </c>
      <c r="O338" s="37">
        <f>IF(N338&gt;M338,N338-M338,(N338+1)-M338)</f>
        <v>5.8333333333333348E-2</v>
      </c>
      <c r="P338" s="29" t="s">
        <v>191</v>
      </c>
      <c r="Q338" s="29" t="s">
        <v>192</v>
      </c>
      <c r="R338" s="29" t="s">
        <v>193</v>
      </c>
      <c r="S338" s="38" t="s">
        <v>46</v>
      </c>
      <c r="T338" s="39" t="s">
        <v>73</v>
      </c>
      <c r="U338" s="39" t="s">
        <v>59</v>
      </c>
      <c r="V338" s="38" t="s">
        <v>100</v>
      </c>
      <c r="W338" s="40" t="s">
        <v>59</v>
      </c>
      <c r="X338" s="13" t="s">
        <v>59</v>
      </c>
      <c r="Y338" s="13" t="s">
        <v>59</v>
      </c>
      <c r="Z338" s="13" t="s">
        <v>59</v>
      </c>
      <c r="AA338" s="13" t="s">
        <v>59</v>
      </c>
      <c r="AB338" s="41" t="s">
        <v>59</v>
      </c>
      <c r="AC338" s="16" t="s">
        <v>59</v>
      </c>
      <c r="AD338" s="42" t="s">
        <v>59</v>
      </c>
      <c r="AE338" s="42">
        <v>166.6</v>
      </c>
      <c r="AF338" s="42">
        <v>2.9</v>
      </c>
      <c r="AG338" s="43" t="s">
        <v>59</v>
      </c>
      <c r="AH338" s="43" t="s">
        <v>59</v>
      </c>
      <c r="AI338" s="43" t="s">
        <v>59</v>
      </c>
      <c r="AJ338" s="17" t="s">
        <v>59</v>
      </c>
      <c r="AK338" s="17" t="s">
        <v>59</v>
      </c>
      <c r="AL338" s="17">
        <v>46.509166666666665</v>
      </c>
      <c r="AM338" s="17" t="s">
        <v>59</v>
      </c>
      <c r="AN338" s="17" t="s">
        <v>59</v>
      </c>
      <c r="AO338" s="44" t="s">
        <v>61</v>
      </c>
    </row>
    <row r="339" spans="1:41" ht="12" customHeight="1" x14ac:dyDescent="0.35">
      <c r="A339" s="29" t="s">
        <v>96</v>
      </c>
      <c r="B339" s="30" t="s">
        <v>200</v>
      </c>
      <c r="C339" s="29">
        <v>26</v>
      </c>
      <c r="D339" s="29" t="s">
        <v>201</v>
      </c>
      <c r="E339" s="31" t="s">
        <v>202</v>
      </c>
      <c r="F339" s="29">
        <v>1121</v>
      </c>
      <c r="G339" s="29" t="s">
        <v>59</v>
      </c>
      <c r="H339" s="32">
        <v>46101</v>
      </c>
      <c r="I339" s="33">
        <v>46101</v>
      </c>
      <c r="J339" s="34" t="s">
        <v>79</v>
      </c>
      <c r="K339" s="35">
        <v>0.71534722222222225</v>
      </c>
      <c r="L339" s="35">
        <v>0.78512731481481479</v>
      </c>
      <c r="M339" s="36">
        <v>0.75701388888888888</v>
      </c>
      <c r="N339" s="35">
        <v>0.82679398148148153</v>
      </c>
      <c r="O339" s="37">
        <f>IF(N339&gt;M339,N339-M339,(N339+1)-M339)</f>
        <v>6.9780092592592657E-2</v>
      </c>
      <c r="P339" s="29" t="s">
        <v>203</v>
      </c>
      <c r="Q339" s="29" t="s">
        <v>136</v>
      </c>
      <c r="R339" s="29" t="s">
        <v>204</v>
      </c>
      <c r="S339" s="38" t="s">
        <v>46</v>
      </c>
      <c r="T339" s="39" t="s">
        <v>73</v>
      </c>
      <c r="U339" s="39" t="s">
        <v>59</v>
      </c>
      <c r="V339" s="38" t="s">
        <v>100</v>
      </c>
      <c r="W339" s="40" t="s">
        <v>59</v>
      </c>
      <c r="X339" s="13" t="s">
        <v>59</v>
      </c>
      <c r="Y339" s="13" t="s">
        <v>59</v>
      </c>
      <c r="Z339" s="13" t="s">
        <v>59</v>
      </c>
      <c r="AA339" s="13" t="s">
        <v>59</v>
      </c>
      <c r="AB339" s="41" t="s">
        <v>59</v>
      </c>
      <c r="AC339" s="16" t="s">
        <v>59</v>
      </c>
      <c r="AD339" s="42" t="s">
        <v>59</v>
      </c>
      <c r="AE339" s="42">
        <v>467.9</v>
      </c>
      <c r="AF339" s="42">
        <v>4.38</v>
      </c>
      <c r="AG339" s="43" t="s">
        <v>59</v>
      </c>
      <c r="AH339" s="43" t="s">
        <v>59</v>
      </c>
      <c r="AI339" s="43" t="s">
        <v>59</v>
      </c>
      <c r="AJ339" s="17" t="s">
        <v>59</v>
      </c>
      <c r="AK339" s="17" t="s">
        <v>59</v>
      </c>
      <c r="AL339" s="17">
        <v>51.876015114503815</v>
      </c>
      <c r="AM339" s="17" t="s">
        <v>59</v>
      </c>
      <c r="AN339" s="17" t="s">
        <v>59</v>
      </c>
      <c r="AO339" s="44" t="s">
        <v>61</v>
      </c>
    </row>
    <row r="340" spans="1:41" ht="12" customHeight="1" x14ac:dyDescent="0.35">
      <c r="A340" s="29" t="s">
        <v>96</v>
      </c>
      <c r="B340" s="30" t="s">
        <v>238</v>
      </c>
      <c r="C340" s="29">
        <v>6</v>
      </c>
      <c r="D340" s="29" t="s">
        <v>239</v>
      </c>
      <c r="E340" s="31" t="s">
        <v>250</v>
      </c>
      <c r="F340" s="29">
        <v>4512</v>
      </c>
      <c r="G340" s="29" t="s">
        <v>59</v>
      </c>
      <c r="H340" s="32">
        <v>46101</v>
      </c>
      <c r="I340" s="33">
        <v>46101</v>
      </c>
      <c r="J340" s="34" t="s">
        <v>79</v>
      </c>
      <c r="K340" s="35">
        <v>0.85503472222222221</v>
      </c>
      <c r="L340" s="35">
        <v>0.85574074074074069</v>
      </c>
      <c r="M340" s="36">
        <v>0.89670138888888884</v>
      </c>
      <c r="N340" s="35">
        <v>0.89740740740740743</v>
      </c>
      <c r="O340" s="37">
        <f>IF(N340&gt;M340,N340-M340,(N340+1)-M340)</f>
        <v>7.0601851851859188E-4</v>
      </c>
      <c r="P340" s="29" t="s">
        <v>251</v>
      </c>
      <c r="Q340" s="29" t="s">
        <v>258</v>
      </c>
      <c r="R340" s="29" t="s">
        <v>259</v>
      </c>
      <c r="S340" s="38" t="s">
        <v>49</v>
      </c>
      <c r="T340" s="39" t="s">
        <v>73</v>
      </c>
      <c r="U340" s="39" t="s">
        <v>59</v>
      </c>
      <c r="V340" s="38" t="s">
        <v>100</v>
      </c>
      <c r="W340" s="40" t="s">
        <v>59</v>
      </c>
      <c r="X340" s="13" t="s">
        <v>59</v>
      </c>
      <c r="Y340" s="13" t="s">
        <v>59</v>
      </c>
      <c r="Z340" s="13" t="s">
        <v>59</v>
      </c>
      <c r="AA340" s="13" t="s">
        <v>59</v>
      </c>
      <c r="AB340" s="41" t="s">
        <v>59</v>
      </c>
      <c r="AC340" s="16" t="s">
        <v>59</v>
      </c>
      <c r="AD340" s="42" t="s">
        <v>59</v>
      </c>
      <c r="AE340" s="42">
        <v>60.2</v>
      </c>
      <c r="AF340" s="42">
        <v>3.2</v>
      </c>
      <c r="AG340" s="43" t="s">
        <v>59</v>
      </c>
      <c r="AH340" s="43" t="s">
        <v>59</v>
      </c>
      <c r="AI340" s="43" t="s">
        <v>59</v>
      </c>
      <c r="AJ340" s="17" t="s">
        <v>59</v>
      </c>
      <c r="AK340" s="17" t="s">
        <v>59</v>
      </c>
      <c r="AL340" s="17">
        <v>52.728511111111104</v>
      </c>
      <c r="AM340" s="17" t="s">
        <v>59</v>
      </c>
      <c r="AN340" s="17" t="s">
        <v>59</v>
      </c>
      <c r="AO340" s="44" t="s">
        <v>61</v>
      </c>
    </row>
    <row r="341" spans="1:41" ht="12" customHeight="1" x14ac:dyDescent="0.35">
      <c r="A341" s="29" t="s">
        <v>96</v>
      </c>
      <c r="B341" s="30" t="s">
        <v>188</v>
      </c>
      <c r="C341" s="29">
        <v>24</v>
      </c>
      <c r="D341" s="29" t="s">
        <v>189</v>
      </c>
      <c r="E341" s="31" t="s">
        <v>190</v>
      </c>
      <c r="F341" s="29">
        <v>5996</v>
      </c>
      <c r="G341" s="29" t="s">
        <v>59</v>
      </c>
      <c r="H341" s="32">
        <v>46101</v>
      </c>
      <c r="I341" s="33">
        <v>46101</v>
      </c>
      <c r="J341" s="34" t="s">
        <v>79</v>
      </c>
      <c r="K341" s="35">
        <v>0.76875000000000004</v>
      </c>
      <c r="L341" s="35">
        <v>0.79583333333333328</v>
      </c>
      <c r="M341" s="36">
        <v>0.81041666666666667</v>
      </c>
      <c r="N341" s="35">
        <v>0.83750000000000002</v>
      </c>
      <c r="O341" s="37">
        <f>IF(N341&gt;M341,N341-M341,(N341+1)-M341)</f>
        <v>2.7083333333333348E-2</v>
      </c>
      <c r="P341" s="29" t="s">
        <v>191</v>
      </c>
      <c r="Q341" s="29" t="s">
        <v>192</v>
      </c>
      <c r="R341" s="29" t="s">
        <v>193</v>
      </c>
      <c r="S341" s="38" t="s">
        <v>46</v>
      </c>
      <c r="T341" s="39" t="s">
        <v>73</v>
      </c>
      <c r="U341" s="39" t="s">
        <v>59</v>
      </c>
      <c r="V341" s="38" t="s">
        <v>100</v>
      </c>
      <c r="W341" s="40" t="s">
        <v>59</v>
      </c>
      <c r="X341" s="13" t="s">
        <v>59</v>
      </c>
      <c r="Y341" s="13" t="s">
        <v>59</v>
      </c>
      <c r="Z341" s="13" t="s">
        <v>59</v>
      </c>
      <c r="AA341" s="13" t="s">
        <v>59</v>
      </c>
      <c r="AB341" s="41" t="s">
        <v>59</v>
      </c>
      <c r="AC341" s="16" t="s">
        <v>59</v>
      </c>
      <c r="AD341" s="42" t="s">
        <v>59</v>
      </c>
      <c r="AE341" s="42">
        <v>198.2</v>
      </c>
      <c r="AF341" s="42">
        <v>5.5</v>
      </c>
      <c r="AG341" s="43" t="s">
        <v>59</v>
      </c>
      <c r="AH341" s="43" t="s">
        <v>59</v>
      </c>
      <c r="AI341" s="43" t="s">
        <v>59</v>
      </c>
      <c r="AJ341" s="17" t="s">
        <v>59</v>
      </c>
      <c r="AK341" s="17" t="s">
        <v>59</v>
      </c>
      <c r="AL341" s="17">
        <v>55.330833333333331</v>
      </c>
      <c r="AM341" s="17" t="s">
        <v>59</v>
      </c>
      <c r="AN341" s="17" t="s">
        <v>59</v>
      </c>
      <c r="AO341" s="44" t="s">
        <v>61</v>
      </c>
    </row>
    <row r="342" spans="1:41" ht="12" customHeight="1" x14ac:dyDescent="0.35">
      <c r="A342" s="29" t="s">
        <v>96</v>
      </c>
      <c r="B342" s="30" t="s">
        <v>238</v>
      </c>
      <c r="C342" s="29">
        <v>6</v>
      </c>
      <c r="D342" s="29" t="s">
        <v>239</v>
      </c>
      <c r="E342" s="31" t="s">
        <v>250</v>
      </c>
      <c r="F342" s="29">
        <v>4512</v>
      </c>
      <c r="G342" s="29"/>
      <c r="H342" s="32">
        <v>46101</v>
      </c>
      <c r="I342" s="33">
        <v>46101</v>
      </c>
      <c r="J342" s="34" t="s">
        <v>79</v>
      </c>
      <c r="K342" s="35">
        <v>0.73071759259259261</v>
      </c>
      <c r="L342" s="35">
        <v>0.85068287037037038</v>
      </c>
      <c r="M342" s="36">
        <v>0.77238425925925924</v>
      </c>
      <c r="N342" s="35">
        <v>0.89234953703703701</v>
      </c>
      <c r="O342" s="37">
        <f>IF(N342&gt;M342,N342-M342,(N342+1)-M342)</f>
        <v>0.11996527777777777</v>
      </c>
      <c r="P342" s="29" t="s">
        <v>251</v>
      </c>
      <c r="Q342" s="29" t="s">
        <v>59</v>
      </c>
      <c r="R342" s="29" t="s">
        <v>251</v>
      </c>
      <c r="S342" s="38" t="s">
        <v>46</v>
      </c>
      <c r="T342" s="39" t="s">
        <v>73</v>
      </c>
      <c r="U342" s="39" t="s">
        <v>59</v>
      </c>
      <c r="V342" s="38" t="s">
        <v>100</v>
      </c>
      <c r="W342" s="40" t="s">
        <v>59</v>
      </c>
      <c r="X342" s="13" t="s">
        <v>59</v>
      </c>
      <c r="Y342" s="13" t="s">
        <v>59</v>
      </c>
      <c r="Z342" s="13" t="s">
        <v>59</v>
      </c>
      <c r="AA342" s="13" t="s">
        <v>59</v>
      </c>
      <c r="AB342" s="41" t="s">
        <v>59</v>
      </c>
      <c r="AC342" s="16" t="s">
        <v>59</v>
      </c>
      <c r="AD342" s="42" t="s">
        <v>59</v>
      </c>
      <c r="AE342" s="42">
        <v>65.400000000000006</v>
      </c>
      <c r="AF342" s="42">
        <v>4.3</v>
      </c>
      <c r="AG342" s="43" t="s">
        <v>59</v>
      </c>
      <c r="AH342" s="43" t="s">
        <v>59</v>
      </c>
      <c r="AI342" s="43" t="s">
        <v>59</v>
      </c>
      <c r="AJ342" s="17" t="s">
        <v>59</v>
      </c>
      <c r="AK342" s="17" t="s">
        <v>59</v>
      </c>
      <c r="AL342" s="17">
        <v>57.283133333333332</v>
      </c>
      <c r="AM342" s="17" t="s">
        <v>59</v>
      </c>
      <c r="AN342" s="17" t="s">
        <v>59</v>
      </c>
      <c r="AO342" s="44" t="s">
        <v>61</v>
      </c>
    </row>
    <row r="343" spans="1:41" ht="12" customHeight="1" x14ac:dyDescent="0.35">
      <c r="A343" s="29" t="s">
        <v>96</v>
      </c>
      <c r="B343" s="30" t="s">
        <v>200</v>
      </c>
      <c r="C343" s="29">
        <v>26</v>
      </c>
      <c r="D343" s="29" t="s">
        <v>201</v>
      </c>
      <c r="E343" s="31" t="s">
        <v>202</v>
      </c>
      <c r="F343" s="29">
        <v>1121</v>
      </c>
      <c r="G343" s="29" t="s">
        <v>59</v>
      </c>
      <c r="H343" s="32">
        <v>46102</v>
      </c>
      <c r="I343" s="33">
        <v>46102</v>
      </c>
      <c r="J343" s="34" t="s">
        <v>71</v>
      </c>
      <c r="K343" s="35">
        <v>0.71883101851851849</v>
      </c>
      <c r="L343" s="35">
        <v>0.78581018518518519</v>
      </c>
      <c r="M343" s="36">
        <v>0.76049768518518523</v>
      </c>
      <c r="N343" s="35">
        <v>0.82747685185185182</v>
      </c>
      <c r="O343" s="37">
        <f>IF(N343&gt;M343,N343-M343,(N343+1)-M343)</f>
        <v>6.697916666666659E-2</v>
      </c>
      <c r="P343" s="29" t="s">
        <v>203</v>
      </c>
      <c r="Q343" s="29" t="s">
        <v>136</v>
      </c>
      <c r="R343" s="29" t="s">
        <v>204</v>
      </c>
      <c r="S343" s="38" t="s">
        <v>46</v>
      </c>
      <c r="T343" s="39" t="s">
        <v>73</v>
      </c>
      <c r="U343" s="39" t="s">
        <v>59</v>
      </c>
      <c r="V343" s="38" t="s">
        <v>104</v>
      </c>
      <c r="W343" s="40" t="s">
        <v>59</v>
      </c>
      <c r="X343" s="13" t="s">
        <v>59</v>
      </c>
      <c r="Y343" s="13" t="s">
        <v>59</v>
      </c>
      <c r="Z343" s="13" t="s">
        <v>59</v>
      </c>
      <c r="AA343" s="13" t="s">
        <v>59</v>
      </c>
      <c r="AB343" s="41" t="s">
        <v>59</v>
      </c>
      <c r="AC343" s="16" t="s">
        <v>59</v>
      </c>
      <c r="AD343" s="42" t="s">
        <v>59</v>
      </c>
      <c r="AE343" s="42">
        <v>484</v>
      </c>
      <c r="AF343" s="42">
        <v>4.54</v>
      </c>
      <c r="AG343" s="43" t="s">
        <v>59</v>
      </c>
      <c r="AH343" s="43" t="s">
        <v>59</v>
      </c>
      <c r="AI343" s="43" t="s">
        <v>59</v>
      </c>
      <c r="AJ343" s="17" t="s">
        <v>59</v>
      </c>
      <c r="AK343" s="17" t="s">
        <v>59</v>
      </c>
      <c r="AL343" s="17">
        <v>62.251218137404578</v>
      </c>
      <c r="AM343" s="17" t="s">
        <v>59</v>
      </c>
      <c r="AN343" s="17" t="s">
        <v>59</v>
      </c>
      <c r="AO343" s="44" t="s">
        <v>61</v>
      </c>
    </row>
    <row r="344" spans="1:41" ht="12" customHeight="1" x14ac:dyDescent="0.35">
      <c r="A344" s="29" t="s">
        <v>96</v>
      </c>
      <c r="B344" s="30" t="s">
        <v>266</v>
      </c>
      <c r="C344" s="29">
        <v>35</v>
      </c>
      <c r="D344" s="29" t="s">
        <v>267</v>
      </c>
      <c r="E344" s="31" t="s">
        <v>372</v>
      </c>
      <c r="F344" s="29">
        <v>1231</v>
      </c>
      <c r="G344" s="29"/>
      <c r="H344" s="32">
        <v>46101</v>
      </c>
      <c r="I344" s="33">
        <v>46101</v>
      </c>
      <c r="J344" s="34" t="s">
        <v>79</v>
      </c>
      <c r="K344" s="35">
        <v>0.375</v>
      </c>
      <c r="L344" s="35">
        <v>0.54166666666666663</v>
      </c>
      <c r="M344" s="36">
        <v>0.375</v>
      </c>
      <c r="N344" s="35">
        <v>0.54166666666666663</v>
      </c>
      <c r="O344" s="37">
        <f>IF(N344&gt;M344,N344-M344,(N344+1)-M344)</f>
        <v>0.16666666666666663</v>
      </c>
      <c r="P344" s="29" t="s">
        <v>268</v>
      </c>
      <c r="Q344" s="29" t="s">
        <v>59</v>
      </c>
      <c r="R344" s="29" t="s">
        <v>268</v>
      </c>
      <c r="S344" s="38" t="s">
        <v>46</v>
      </c>
      <c r="T344" s="39" t="s">
        <v>73</v>
      </c>
      <c r="U344" s="39" t="s">
        <v>59</v>
      </c>
      <c r="V344" s="38" t="s">
        <v>100</v>
      </c>
      <c r="W344" s="40" t="s">
        <v>59</v>
      </c>
      <c r="X344" s="13" t="s">
        <v>59</v>
      </c>
      <c r="Y344" s="13" t="s">
        <v>59</v>
      </c>
      <c r="Z344" s="13" t="s">
        <v>59</v>
      </c>
      <c r="AA344" s="13" t="s">
        <v>59</v>
      </c>
      <c r="AB344" s="41" t="s">
        <v>59</v>
      </c>
      <c r="AC344" s="16" t="s">
        <v>59</v>
      </c>
      <c r="AD344" s="42" t="s">
        <v>59</v>
      </c>
      <c r="AE344" s="42">
        <v>174.4</v>
      </c>
      <c r="AF344" s="42">
        <v>0</v>
      </c>
      <c r="AG344" s="43" t="s">
        <v>59</v>
      </c>
      <c r="AH344" s="43" t="s">
        <v>59</v>
      </c>
      <c r="AI344" s="43" t="s">
        <v>59</v>
      </c>
      <c r="AJ344" s="17" t="s">
        <v>59</v>
      </c>
      <c r="AK344" s="17" t="s">
        <v>59</v>
      </c>
      <c r="AL344" s="17">
        <v>62.6096</v>
      </c>
      <c r="AM344" s="17" t="s">
        <v>59</v>
      </c>
      <c r="AN344" s="17" t="s">
        <v>59</v>
      </c>
      <c r="AO344" s="44" t="s">
        <v>61</v>
      </c>
    </row>
    <row r="345" spans="1:41" ht="12" customHeight="1" x14ac:dyDescent="0.35">
      <c r="A345" s="29" t="s">
        <v>96</v>
      </c>
      <c r="B345" s="30" t="s">
        <v>238</v>
      </c>
      <c r="C345" s="29">
        <v>6</v>
      </c>
      <c r="D345" s="29" t="s">
        <v>239</v>
      </c>
      <c r="E345" s="31" t="s">
        <v>250</v>
      </c>
      <c r="F345" s="29">
        <v>4512</v>
      </c>
      <c r="G345" s="29" t="s">
        <v>59</v>
      </c>
      <c r="H345" s="32">
        <v>46101</v>
      </c>
      <c r="I345" s="33">
        <v>46101</v>
      </c>
      <c r="J345" s="34" t="s">
        <v>79</v>
      </c>
      <c r="K345" s="35">
        <v>0.85068287037037038</v>
      </c>
      <c r="L345" s="35">
        <v>0.85503472222222221</v>
      </c>
      <c r="M345" s="36">
        <v>0.89234953703703701</v>
      </c>
      <c r="N345" s="35">
        <v>0.89670138888888884</v>
      </c>
      <c r="O345" s="37">
        <f>IF(N345&gt;M345,N345-M345,(N345+1)-M345)</f>
        <v>4.351851851851829E-3</v>
      </c>
      <c r="P345" s="29" t="s">
        <v>251</v>
      </c>
      <c r="Q345" s="29" t="s">
        <v>256</v>
      </c>
      <c r="R345" s="29" t="s">
        <v>257</v>
      </c>
      <c r="S345" s="38" t="s">
        <v>49</v>
      </c>
      <c r="T345" s="39" t="s">
        <v>73</v>
      </c>
      <c r="U345" s="39" t="s">
        <v>59</v>
      </c>
      <c r="V345" s="38" t="s">
        <v>100</v>
      </c>
      <c r="W345" s="40" t="s">
        <v>59</v>
      </c>
      <c r="X345" s="13" t="s">
        <v>59</v>
      </c>
      <c r="Y345" s="13" t="s">
        <v>59</v>
      </c>
      <c r="Z345" s="13" t="s">
        <v>59</v>
      </c>
      <c r="AA345" s="13" t="s">
        <v>59</v>
      </c>
      <c r="AB345" s="41" t="s">
        <v>59</v>
      </c>
      <c r="AC345" s="16" t="s">
        <v>59</v>
      </c>
      <c r="AD345" s="42" t="s">
        <v>59</v>
      </c>
      <c r="AE345" s="42">
        <v>72</v>
      </c>
      <c r="AF345" s="42">
        <v>3.7</v>
      </c>
      <c r="AG345" s="43" t="s">
        <v>59</v>
      </c>
      <c r="AH345" s="43" t="s">
        <v>59</v>
      </c>
      <c r="AI345" s="43" t="s">
        <v>59</v>
      </c>
      <c r="AJ345" s="17" t="s">
        <v>59</v>
      </c>
      <c r="AK345" s="17" t="s">
        <v>59</v>
      </c>
      <c r="AL345" s="17">
        <v>63.063999999999993</v>
      </c>
      <c r="AM345" s="17" t="s">
        <v>59</v>
      </c>
      <c r="AN345" s="17" t="s">
        <v>59</v>
      </c>
      <c r="AO345" s="44" t="s">
        <v>61</v>
      </c>
    </row>
    <row r="346" spans="1:41" ht="12" customHeight="1" x14ac:dyDescent="0.35">
      <c r="A346" s="29" t="s">
        <v>96</v>
      </c>
      <c r="B346" s="30" t="s">
        <v>152</v>
      </c>
      <c r="C346" s="29">
        <v>30</v>
      </c>
      <c r="D346" s="29" t="s">
        <v>153</v>
      </c>
      <c r="E346" s="31" t="s">
        <v>158</v>
      </c>
      <c r="F346" s="29">
        <v>1125</v>
      </c>
      <c r="G346" s="29" t="s">
        <v>59</v>
      </c>
      <c r="H346" s="32">
        <v>46101</v>
      </c>
      <c r="I346" s="33">
        <v>46101</v>
      </c>
      <c r="J346" s="34" t="s">
        <v>79</v>
      </c>
      <c r="K346" s="35">
        <v>0.375</v>
      </c>
      <c r="L346" s="35">
        <v>0.54494212962962962</v>
      </c>
      <c r="M346" s="36">
        <v>0.45833333333333331</v>
      </c>
      <c r="N346" s="35">
        <v>0.62827546296296299</v>
      </c>
      <c r="O346" s="37">
        <f>IF(N346&gt;M346,N346-M346,(N346+1)-M346)</f>
        <v>0.16994212962962968</v>
      </c>
      <c r="P346" s="29" t="s">
        <v>155</v>
      </c>
      <c r="Q346" s="29" t="s">
        <v>159</v>
      </c>
      <c r="R346" s="29" t="s">
        <v>160</v>
      </c>
      <c r="S346" s="38" t="s">
        <v>46</v>
      </c>
      <c r="T346" s="39" t="s">
        <v>73</v>
      </c>
      <c r="U346" s="39" t="s">
        <v>59</v>
      </c>
      <c r="V346" s="38" t="s">
        <v>100</v>
      </c>
      <c r="W346" s="40" t="s">
        <v>59</v>
      </c>
      <c r="X346" s="13" t="s">
        <v>59</v>
      </c>
      <c r="Y346" s="13" t="s">
        <v>59</v>
      </c>
      <c r="Z346" s="13" t="s">
        <v>59</v>
      </c>
      <c r="AA346" s="13" t="s">
        <v>59</v>
      </c>
      <c r="AB346" s="41" t="s">
        <v>59</v>
      </c>
      <c r="AC346" s="16" t="s">
        <v>59</v>
      </c>
      <c r="AD346" s="42" t="s">
        <v>59</v>
      </c>
      <c r="AE346" s="42">
        <v>136.30000000000001</v>
      </c>
      <c r="AF346" s="42">
        <v>40.1</v>
      </c>
      <c r="AG346" s="43" t="s">
        <v>59</v>
      </c>
      <c r="AH346" s="43" t="s">
        <v>59</v>
      </c>
      <c r="AI346" s="43" t="s">
        <v>59</v>
      </c>
      <c r="AJ346" s="17" t="s">
        <v>59</v>
      </c>
      <c r="AK346" s="17" t="s">
        <v>59</v>
      </c>
      <c r="AL346" s="17">
        <v>65.368253120893556</v>
      </c>
      <c r="AM346" s="17" t="s">
        <v>59</v>
      </c>
      <c r="AN346" s="17" t="s">
        <v>59</v>
      </c>
      <c r="AO346" s="44" t="s">
        <v>61</v>
      </c>
    </row>
    <row r="347" spans="1:41" ht="12" customHeight="1" x14ac:dyDescent="0.35">
      <c r="A347" s="29" t="s">
        <v>96</v>
      </c>
      <c r="B347" s="30" t="s">
        <v>234</v>
      </c>
      <c r="C347" s="29">
        <v>29</v>
      </c>
      <c r="D347" s="29" t="s">
        <v>235</v>
      </c>
      <c r="E347" s="31" t="s">
        <v>236</v>
      </c>
      <c r="F347" s="29">
        <v>1232</v>
      </c>
      <c r="G347" s="29" t="s">
        <v>59</v>
      </c>
      <c r="H347" s="32">
        <v>46101</v>
      </c>
      <c r="I347" s="33">
        <v>46101</v>
      </c>
      <c r="J347" s="34" t="s">
        <v>79</v>
      </c>
      <c r="K347" s="35">
        <v>0.70833333333333337</v>
      </c>
      <c r="L347" s="35">
        <v>0.83332175925925922</v>
      </c>
      <c r="M347" s="36">
        <v>0.75</v>
      </c>
      <c r="N347" s="35">
        <v>0.87498842592592596</v>
      </c>
      <c r="O347" s="37">
        <f>IF(N347&gt;M347,N347-M347,(N347+1)-M347)</f>
        <v>0.12498842592592596</v>
      </c>
      <c r="P347" s="29" t="s">
        <v>237</v>
      </c>
      <c r="Q347" s="29" t="s">
        <v>59</v>
      </c>
      <c r="R347" s="29" t="s">
        <v>237</v>
      </c>
      <c r="S347" s="38" t="s">
        <v>46</v>
      </c>
      <c r="T347" s="39" t="s">
        <v>73</v>
      </c>
      <c r="U347" s="39" t="s">
        <v>59</v>
      </c>
      <c r="V347" s="38" t="s">
        <v>100</v>
      </c>
      <c r="W347" s="40" t="s">
        <v>59</v>
      </c>
      <c r="X347" s="13" t="s">
        <v>59</v>
      </c>
      <c r="Y347" s="13" t="s">
        <v>59</v>
      </c>
      <c r="Z347" s="13" t="s">
        <v>59</v>
      </c>
      <c r="AA347" s="13" t="s">
        <v>59</v>
      </c>
      <c r="AB347" s="41" t="s">
        <v>59</v>
      </c>
      <c r="AC347" s="16" t="s">
        <v>59</v>
      </c>
      <c r="AD347" s="42" t="s">
        <v>59</v>
      </c>
      <c r="AE347" s="42">
        <v>206.416</v>
      </c>
      <c r="AF347" s="42">
        <v>11.45</v>
      </c>
      <c r="AG347" s="43" t="s">
        <v>59</v>
      </c>
      <c r="AH347" s="43" t="s">
        <v>59</v>
      </c>
      <c r="AI347" s="43" t="s">
        <v>59</v>
      </c>
      <c r="AJ347" s="17" t="s">
        <v>59</v>
      </c>
      <c r="AK347" s="17" t="s">
        <v>59</v>
      </c>
      <c r="AL347" s="17">
        <v>68.113518744048079</v>
      </c>
      <c r="AM347" s="17" t="s">
        <v>59</v>
      </c>
      <c r="AN347" s="17" t="s">
        <v>59</v>
      </c>
      <c r="AO347" s="44" t="s">
        <v>61</v>
      </c>
    </row>
    <row r="348" spans="1:41" ht="12" customHeight="1" x14ac:dyDescent="0.35">
      <c r="A348" s="29" t="s">
        <v>96</v>
      </c>
      <c r="B348" s="30" t="s">
        <v>64</v>
      </c>
      <c r="C348" s="29">
        <v>19</v>
      </c>
      <c r="D348" s="29" t="s">
        <v>177</v>
      </c>
      <c r="E348" s="31" t="s">
        <v>178</v>
      </c>
      <c r="F348" s="29">
        <v>2925</v>
      </c>
      <c r="G348" s="29" t="s">
        <v>59</v>
      </c>
      <c r="H348" s="32">
        <v>46101</v>
      </c>
      <c r="I348" s="33">
        <v>46101</v>
      </c>
      <c r="J348" s="34" t="s">
        <v>79</v>
      </c>
      <c r="K348" s="35">
        <v>0.72321759259259255</v>
      </c>
      <c r="L348" s="35">
        <v>0.85553240740740744</v>
      </c>
      <c r="M348" s="36">
        <v>0.76488425925925929</v>
      </c>
      <c r="N348" s="35">
        <v>0.89719907407407407</v>
      </c>
      <c r="O348" s="37">
        <f>IF(N348&gt;M348,N348-M348,(N348+1)-M348)</f>
        <v>0.13231481481481477</v>
      </c>
      <c r="P348" s="29" t="s">
        <v>179</v>
      </c>
      <c r="Q348" s="29" t="s">
        <v>180</v>
      </c>
      <c r="R348" s="29" t="s">
        <v>181</v>
      </c>
      <c r="S348" s="38" t="s">
        <v>46</v>
      </c>
      <c r="T348" s="39" t="s">
        <v>73</v>
      </c>
      <c r="U348" s="39" t="s">
        <v>59</v>
      </c>
      <c r="V348" s="38" t="s">
        <v>100</v>
      </c>
      <c r="W348" s="40" t="s">
        <v>59</v>
      </c>
      <c r="X348" s="13" t="s">
        <v>59</v>
      </c>
      <c r="Y348" s="13" t="s">
        <v>59</v>
      </c>
      <c r="Z348" s="13" t="s">
        <v>59</v>
      </c>
      <c r="AA348" s="13" t="s">
        <v>59</v>
      </c>
      <c r="AB348" s="41" t="s">
        <v>59</v>
      </c>
      <c r="AC348" s="16" t="s">
        <v>59</v>
      </c>
      <c r="AD348" s="42" t="s">
        <v>59</v>
      </c>
      <c r="AE348" s="42">
        <v>142.6</v>
      </c>
      <c r="AF348" s="42">
        <v>0.88</v>
      </c>
      <c r="AG348" s="43" t="s">
        <v>59</v>
      </c>
      <c r="AH348" s="43" t="s">
        <v>59</v>
      </c>
      <c r="AI348" s="43" t="s">
        <v>59</v>
      </c>
      <c r="AJ348" s="17" t="s">
        <v>59</v>
      </c>
      <c r="AK348" s="17" t="s">
        <v>59</v>
      </c>
      <c r="AL348" s="17">
        <v>70.858153294533068</v>
      </c>
      <c r="AM348" s="17" t="s">
        <v>59</v>
      </c>
      <c r="AN348" s="17" t="s">
        <v>59</v>
      </c>
      <c r="AO348" s="44" t="s">
        <v>61</v>
      </c>
    </row>
    <row r="349" spans="1:41" ht="12" customHeight="1" x14ac:dyDescent="0.35">
      <c r="A349" s="29" t="s">
        <v>96</v>
      </c>
      <c r="B349" s="30" t="s">
        <v>200</v>
      </c>
      <c r="C349" s="29">
        <v>26</v>
      </c>
      <c r="D349" s="29" t="s">
        <v>201</v>
      </c>
      <c r="E349" s="31" t="s">
        <v>202</v>
      </c>
      <c r="F349" s="29">
        <v>1121</v>
      </c>
      <c r="G349" s="29" t="s">
        <v>59</v>
      </c>
      <c r="H349" s="32">
        <v>46103</v>
      </c>
      <c r="I349" s="33">
        <v>46103</v>
      </c>
      <c r="J349" s="34" t="s">
        <v>74</v>
      </c>
      <c r="K349" s="35">
        <v>0.69377314814814817</v>
      </c>
      <c r="L349" s="35">
        <v>0.83835648148148145</v>
      </c>
      <c r="M349" s="36">
        <v>0.7354398148148148</v>
      </c>
      <c r="N349" s="35">
        <v>0.88002314814814819</v>
      </c>
      <c r="O349" s="37">
        <f>IF(N349&gt;M349,N349-M349,(N349+1)-M349)</f>
        <v>0.1445833333333334</v>
      </c>
      <c r="P349" s="29" t="s">
        <v>203</v>
      </c>
      <c r="Q349" s="29" t="s">
        <v>136</v>
      </c>
      <c r="R349" s="29" t="s">
        <v>204</v>
      </c>
      <c r="S349" s="38" t="s">
        <v>46</v>
      </c>
      <c r="T349" s="39" t="s">
        <v>73</v>
      </c>
      <c r="U349" s="39" t="s">
        <v>59</v>
      </c>
      <c r="V349" s="38" t="s">
        <v>107</v>
      </c>
      <c r="W349" s="40" t="s">
        <v>59</v>
      </c>
      <c r="X349" s="13" t="s">
        <v>59</v>
      </c>
      <c r="Y349" s="13" t="s">
        <v>59</v>
      </c>
      <c r="Z349" s="13" t="s">
        <v>59</v>
      </c>
      <c r="AA349" s="13" t="s">
        <v>59</v>
      </c>
      <c r="AB349" s="41" t="s">
        <v>59</v>
      </c>
      <c r="AC349" s="16" t="s">
        <v>59</v>
      </c>
      <c r="AD349" s="42" t="s">
        <v>59</v>
      </c>
      <c r="AE349" s="42">
        <v>871.2</v>
      </c>
      <c r="AF349" s="42">
        <v>7.03</v>
      </c>
      <c r="AG349" s="43" t="s">
        <v>59</v>
      </c>
      <c r="AH349" s="43" t="s">
        <v>59</v>
      </c>
      <c r="AI349" s="43" t="s">
        <v>59</v>
      </c>
      <c r="AJ349" s="17" t="s">
        <v>59</v>
      </c>
      <c r="AK349" s="17" t="s">
        <v>59</v>
      </c>
      <c r="AL349" s="17">
        <v>74.970338857866992</v>
      </c>
      <c r="AM349" s="17" t="s">
        <v>59</v>
      </c>
      <c r="AN349" s="17" t="s">
        <v>59</v>
      </c>
      <c r="AO349" s="44" t="s">
        <v>61</v>
      </c>
    </row>
    <row r="350" spans="1:41" ht="12" customHeight="1" x14ac:dyDescent="0.35">
      <c r="A350" s="29" t="s">
        <v>96</v>
      </c>
      <c r="B350" s="30" t="s">
        <v>64</v>
      </c>
      <c r="C350" s="29">
        <v>19</v>
      </c>
      <c r="D350" s="29" t="s">
        <v>177</v>
      </c>
      <c r="E350" s="31" t="s">
        <v>178</v>
      </c>
      <c r="F350" s="29">
        <v>2925</v>
      </c>
      <c r="G350" s="29" t="s">
        <v>59</v>
      </c>
      <c r="H350" s="32">
        <v>46103</v>
      </c>
      <c r="I350" s="33">
        <v>46103</v>
      </c>
      <c r="J350" s="34" t="s">
        <v>74</v>
      </c>
      <c r="K350" s="35">
        <v>0.37486111111111109</v>
      </c>
      <c r="L350" s="35">
        <v>0.49793981481481481</v>
      </c>
      <c r="M350" s="36">
        <v>0.41652777777777777</v>
      </c>
      <c r="N350" s="35">
        <v>0.53960648148148149</v>
      </c>
      <c r="O350" s="37">
        <f>IF(N350&gt;M350,N350-M350,(N350+1)-M350)</f>
        <v>0.12307870370370372</v>
      </c>
      <c r="P350" s="29" t="s">
        <v>179</v>
      </c>
      <c r="Q350" s="29" t="s">
        <v>180</v>
      </c>
      <c r="R350" s="29" t="s">
        <v>181</v>
      </c>
      <c r="S350" s="38" t="s">
        <v>46</v>
      </c>
      <c r="T350" s="39" t="s">
        <v>73</v>
      </c>
      <c r="U350" s="39" t="s">
        <v>59</v>
      </c>
      <c r="V350" s="38" t="s">
        <v>107</v>
      </c>
      <c r="W350" s="40" t="s">
        <v>59</v>
      </c>
      <c r="X350" s="13" t="s">
        <v>59</v>
      </c>
      <c r="Y350" s="13" t="s">
        <v>59</v>
      </c>
      <c r="Z350" s="13" t="s">
        <v>59</v>
      </c>
      <c r="AA350" s="13" t="s">
        <v>59</v>
      </c>
      <c r="AB350" s="41" t="s">
        <v>59</v>
      </c>
      <c r="AC350" s="16" t="s">
        <v>59</v>
      </c>
      <c r="AD350" s="42" t="s">
        <v>59</v>
      </c>
      <c r="AE350" s="42">
        <v>155.4</v>
      </c>
      <c r="AF350" s="42">
        <v>1.99</v>
      </c>
      <c r="AG350" s="43" t="s">
        <v>59</v>
      </c>
      <c r="AH350" s="43" t="s">
        <v>59</v>
      </c>
      <c r="AI350" s="43" t="s">
        <v>59</v>
      </c>
      <c r="AJ350" s="17" t="s">
        <v>59</v>
      </c>
      <c r="AK350" s="17" t="s">
        <v>59</v>
      </c>
      <c r="AL350" s="17">
        <v>77.2184924401854</v>
      </c>
      <c r="AM350" s="17" t="s">
        <v>59</v>
      </c>
      <c r="AN350" s="17" t="s">
        <v>59</v>
      </c>
      <c r="AO350" s="44" t="s">
        <v>61</v>
      </c>
    </row>
    <row r="351" spans="1:41" ht="12" customHeight="1" x14ac:dyDescent="0.35">
      <c r="A351" s="29" t="s">
        <v>96</v>
      </c>
      <c r="B351" s="30" t="s">
        <v>152</v>
      </c>
      <c r="C351" s="29">
        <v>30</v>
      </c>
      <c r="D351" s="29" t="s">
        <v>153</v>
      </c>
      <c r="E351" s="31" t="s">
        <v>158</v>
      </c>
      <c r="F351" s="29">
        <v>1125</v>
      </c>
      <c r="G351" s="29" t="s">
        <v>59</v>
      </c>
      <c r="H351" s="32">
        <v>46101</v>
      </c>
      <c r="I351" s="33">
        <v>46101</v>
      </c>
      <c r="J351" s="34" t="s">
        <v>79</v>
      </c>
      <c r="K351" s="35">
        <v>0.83714120370370371</v>
      </c>
      <c r="L351" s="35">
        <v>0.89583333333333337</v>
      </c>
      <c r="M351" s="36">
        <v>0.92047453703703708</v>
      </c>
      <c r="N351" s="35">
        <v>0.97916666666666663</v>
      </c>
      <c r="O351" s="37">
        <f>IF(N351&gt;M351,N351-M351,(N351+1)-M351)</f>
        <v>5.8692129629629552E-2</v>
      </c>
      <c r="P351" s="29" t="s">
        <v>155</v>
      </c>
      <c r="Q351" s="29" t="s">
        <v>161</v>
      </c>
      <c r="R351" s="29" t="s">
        <v>162</v>
      </c>
      <c r="S351" s="38" t="s">
        <v>46</v>
      </c>
      <c r="T351" s="39" t="s">
        <v>73</v>
      </c>
      <c r="U351" s="39" t="s">
        <v>59</v>
      </c>
      <c r="V351" s="38" t="s">
        <v>100</v>
      </c>
      <c r="W351" s="40" t="s">
        <v>59</v>
      </c>
      <c r="X351" s="13" t="s">
        <v>59</v>
      </c>
      <c r="Y351" s="13" t="s">
        <v>59</v>
      </c>
      <c r="Z351" s="13" t="s">
        <v>59</v>
      </c>
      <c r="AA351" s="13" t="s">
        <v>59</v>
      </c>
      <c r="AB351" s="41" t="s">
        <v>59</v>
      </c>
      <c r="AC351" s="16" t="s">
        <v>59</v>
      </c>
      <c r="AD351" s="42" t="s">
        <v>59</v>
      </c>
      <c r="AE351" s="42">
        <v>162.1</v>
      </c>
      <c r="AF351" s="42">
        <v>17.2</v>
      </c>
      <c r="AG351" s="43" t="s">
        <v>59</v>
      </c>
      <c r="AH351" s="43" t="s">
        <v>59</v>
      </c>
      <c r="AI351" s="43" t="s">
        <v>59</v>
      </c>
      <c r="AJ351" s="17" t="s">
        <v>59</v>
      </c>
      <c r="AK351" s="17" t="s">
        <v>59</v>
      </c>
      <c r="AL351" s="17">
        <v>77.741700886990799</v>
      </c>
      <c r="AM351" s="17" t="s">
        <v>59</v>
      </c>
      <c r="AN351" s="17" t="s">
        <v>59</v>
      </c>
      <c r="AO351" s="44" t="s">
        <v>61</v>
      </c>
    </row>
    <row r="352" spans="1:41" ht="12" customHeight="1" x14ac:dyDescent="0.35">
      <c r="A352" s="29" t="s">
        <v>96</v>
      </c>
      <c r="B352" s="30" t="s">
        <v>188</v>
      </c>
      <c r="C352" s="29">
        <v>24</v>
      </c>
      <c r="D352" s="29" t="s">
        <v>189</v>
      </c>
      <c r="E352" s="31" t="s">
        <v>190</v>
      </c>
      <c r="F352" s="29">
        <v>5996</v>
      </c>
      <c r="G352" s="29" t="s">
        <v>59</v>
      </c>
      <c r="H352" s="32">
        <v>46102</v>
      </c>
      <c r="I352" s="33">
        <v>46102</v>
      </c>
      <c r="J352" s="34" t="s">
        <v>71</v>
      </c>
      <c r="K352" s="35">
        <v>0.79861111111111116</v>
      </c>
      <c r="L352" s="35">
        <v>0.85555555555555551</v>
      </c>
      <c r="M352" s="36">
        <v>0.84027777777777779</v>
      </c>
      <c r="N352" s="35">
        <v>0.89722222222222225</v>
      </c>
      <c r="O352" s="37">
        <f>IF(N352&gt;M352,N352-M352,(N352+1)-M352)</f>
        <v>5.6944444444444464E-2</v>
      </c>
      <c r="P352" s="29" t="s">
        <v>191</v>
      </c>
      <c r="Q352" s="29" t="s">
        <v>192</v>
      </c>
      <c r="R352" s="29" t="s">
        <v>193</v>
      </c>
      <c r="S352" s="38" t="s">
        <v>46</v>
      </c>
      <c r="T352" s="39" t="s">
        <v>73</v>
      </c>
      <c r="U352" s="39" t="s">
        <v>59</v>
      </c>
      <c r="V352" s="38" t="s">
        <v>104</v>
      </c>
      <c r="W352" s="40" t="s">
        <v>59</v>
      </c>
      <c r="X352" s="13" t="s">
        <v>59</v>
      </c>
      <c r="Y352" s="13" t="s">
        <v>59</v>
      </c>
      <c r="Z352" s="13" t="s">
        <v>59</v>
      </c>
      <c r="AA352" s="13" t="s">
        <v>59</v>
      </c>
      <c r="AB352" s="41" t="s">
        <v>59</v>
      </c>
      <c r="AC352" s="16" t="s">
        <v>59</v>
      </c>
      <c r="AD352" s="42" t="s">
        <v>59</v>
      </c>
      <c r="AE352" s="42">
        <v>300.89999999999998</v>
      </c>
      <c r="AF352" s="42">
        <v>5.0999999999999996</v>
      </c>
      <c r="AG352" s="43" t="s">
        <v>59</v>
      </c>
      <c r="AH352" s="43" t="s">
        <v>59</v>
      </c>
      <c r="AI352" s="43" t="s">
        <v>59</v>
      </c>
      <c r="AJ352" s="17" t="s">
        <v>59</v>
      </c>
      <c r="AK352" s="17" t="s">
        <v>59</v>
      </c>
      <c r="AL352" s="17">
        <v>84.001249999999999</v>
      </c>
      <c r="AM352" s="17" t="s">
        <v>59</v>
      </c>
      <c r="AN352" s="17" t="s">
        <v>59</v>
      </c>
      <c r="AO352" s="44" t="s">
        <v>61</v>
      </c>
    </row>
    <row r="353" spans="1:41" ht="12" customHeight="1" x14ac:dyDescent="0.35">
      <c r="A353" s="29" t="s">
        <v>96</v>
      </c>
      <c r="B353" s="30" t="s">
        <v>188</v>
      </c>
      <c r="C353" s="29">
        <v>24</v>
      </c>
      <c r="D353" s="29" t="s">
        <v>189</v>
      </c>
      <c r="E353" s="31" t="s">
        <v>190</v>
      </c>
      <c r="F353" s="29">
        <v>5996</v>
      </c>
      <c r="G353" s="29" t="s">
        <v>59</v>
      </c>
      <c r="H353" s="32">
        <v>46102</v>
      </c>
      <c r="I353" s="33">
        <v>46102</v>
      </c>
      <c r="J353" s="34" t="s">
        <v>71</v>
      </c>
      <c r="K353" s="35">
        <v>0.76736111111111116</v>
      </c>
      <c r="L353" s="35">
        <v>0.79583333333333328</v>
      </c>
      <c r="M353" s="36">
        <v>0.80902777777777779</v>
      </c>
      <c r="N353" s="35">
        <v>0.83750000000000002</v>
      </c>
      <c r="O353" s="37">
        <f>IF(N353&gt;M353,N353-M353,(N353+1)-M353)</f>
        <v>2.8472222222222232E-2</v>
      </c>
      <c r="P353" s="29" t="s">
        <v>191</v>
      </c>
      <c r="Q353" s="29" t="s">
        <v>192</v>
      </c>
      <c r="R353" s="29" t="s">
        <v>193</v>
      </c>
      <c r="S353" s="38" t="s">
        <v>46</v>
      </c>
      <c r="T353" s="39" t="s">
        <v>73</v>
      </c>
      <c r="U353" s="39" t="s">
        <v>59</v>
      </c>
      <c r="V353" s="38" t="s">
        <v>104</v>
      </c>
      <c r="W353" s="40" t="s">
        <v>59</v>
      </c>
      <c r="X353" s="13" t="s">
        <v>59</v>
      </c>
      <c r="Y353" s="13" t="s">
        <v>59</v>
      </c>
      <c r="Z353" s="13" t="s">
        <v>59</v>
      </c>
      <c r="AA353" s="13" t="s">
        <v>59</v>
      </c>
      <c r="AB353" s="41" t="s">
        <v>59</v>
      </c>
      <c r="AC353" s="16" t="s">
        <v>59</v>
      </c>
      <c r="AD353" s="42" t="s">
        <v>59</v>
      </c>
      <c r="AE353" s="42">
        <v>301.60000000000002</v>
      </c>
      <c r="AF353" s="42">
        <v>7.4</v>
      </c>
      <c r="AG353" s="43" t="s">
        <v>59</v>
      </c>
      <c r="AH353" s="43" t="s">
        <v>59</v>
      </c>
      <c r="AI353" s="43" t="s">
        <v>59</v>
      </c>
      <c r="AJ353" s="17" t="s">
        <v>59</v>
      </c>
      <c r="AK353" s="17" t="s">
        <v>59</v>
      </c>
      <c r="AL353" s="17">
        <v>84.196666666666673</v>
      </c>
      <c r="AM353" s="17" t="s">
        <v>59</v>
      </c>
      <c r="AN353" s="17" t="s">
        <v>59</v>
      </c>
      <c r="AO353" s="44" t="s">
        <v>61</v>
      </c>
    </row>
    <row r="354" spans="1:41" ht="12" customHeight="1" x14ac:dyDescent="0.35">
      <c r="A354" s="29" t="s">
        <v>96</v>
      </c>
      <c r="B354" s="30" t="s">
        <v>188</v>
      </c>
      <c r="C354" s="29">
        <v>24</v>
      </c>
      <c r="D354" s="29" t="s">
        <v>189</v>
      </c>
      <c r="E354" s="31" t="s">
        <v>190</v>
      </c>
      <c r="F354" s="29">
        <v>5996</v>
      </c>
      <c r="G354" s="29" t="s">
        <v>59</v>
      </c>
      <c r="H354" s="32">
        <v>46103</v>
      </c>
      <c r="I354" s="33">
        <v>46103</v>
      </c>
      <c r="J354" s="34" t="s">
        <v>74</v>
      </c>
      <c r="K354" s="35">
        <v>0.78125</v>
      </c>
      <c r="L354" s="35">
        <v>0.83888888888888891</v>
      </c>
      <c r="M354" s="36">
        <v>0.82291666666666663</v>
      </c>
      <c r="N354" s="35">
        <v>0.88055555555555554</v>
      </c>
      <c r="O354" s="37">
        <f>IF(N354&gt;M354,N354-M354,(N354+1)-M354)</f>
        <v>5.7638888888888906E-2</v>
      </c>
      <c r="P354" s="29" t="s">
        <v>191</v>
      </c>
      <c r="Q354" s="29" t="s">
        <v>192</v>
      </c>
      <c r="R354" s="29" t="s">
        <v>193</v>
      </c>
      <c r="S354" s="38" t="s">
        <v>46</v>
      </c>
      <c r="T354" s="39" t="s">
        <v>73</v>
      </c>
      <c r="U354" s="39" t="s">
        <v>59</v>
      </c>
      <c r="V354" s="38" t="s">
        <v>107</v>
      </c>
      <c r="W354" s="40" t="s">
        <v>59</v>
      </c>
      <c r="X354" s="13" t="s">
        <v>59</v>
      </c>
      <c r="Y354" s="13" t="s">
        <v>59</v>
      </c>
      <c r="Z354" s="13" t="s">
        <v>59</v>
      </c>
      <c r="AA354" s="13" t="s">
        <v>59</v>
      </c>
      <c r="AB354" s="41" t="s">
        <v>59</v>
      </c>
      <c r="AC354" s="16" t="s">
        <v>59</v>
      </c>
      <c r="AD354" s="42" t="s">
        <v>59</v>
      </c>
      <c r="AE354" s="42">
        <v>336.8</v>
      </c>
      <c r="AF354" s="42">
        <v>6.5</v>
      </c>
      <c r="AG354" s="43" t="s">
        <v>59</v>
      </c>
      <c r="AH354" s="43" t="s">
        <v>59</v>
      </c>
      <c r="AI354" s="43" t="s">
        <v>59</v>
      </c>
      <c r="AJ354" s="17" t="s">
        <v>59</v>
      </c>
      <c r="AK354" s="17" t="s">
        <v>59</v>
      </c>
      <c r="AL354" s="17">
        <v>94.023333333333341</v>
      </c>
      <c r="AM354" s="17" t="s">
        <v>59</v>
      </c>
      <c r="AN354" s="17" t="s">
        <v>59</v>
      </c>
      <c r="AO354" s="44" t="s">
        <v>61</v>
      </c>
    </row>
    <row r="355" spans="1:41" ht="12" customHeight="1" x14ac:dyDescent="0.35">
      <c r="A355" s="29" t="s">
        <v>96</v>
      </c>
      <c r="B355" s="30" t="s">
        <v>266</v>
      </c>
      <c r="C355" s="29">
        <v>35</v>
      </c>
      <c r="D355" s="29" t="s">
        <v>267</v>
      </c>
      <c r="E355" s="31" t="s">
        <v>372</v>
      </c>
      <c r="F355" s="29">
        <v>1231</v>
      </c>
      <c r="G355" s="29"/>
      <c r="H355" s="32">
        <v>46102</v>
      </c>
      <c r="I355" s="33">
        <v>46102</v>
      </c>
      <c r="J355" s="34" t="s">
        <v>71</v>
      </c>
      <c r="K355" s="35">
        <v>0.375</v>
      </c>
      <c r="L355" s="35">
        <v>0.52083333333333337</v>
      </c>
      <c r="M355" s="36">
        <v>0.375</v>
      </c>
      <c r="N355" s="35">
        <v>0.52083333333333337</v>
      </c>
      <c r="O355" s="37">
        <f>IF(N355&gt;M355,N355-M355,(N355+1)-M355)</f>
        <v>0.14583333333333337</v>
      </c>
      <c r="P355" s="29" t="s">
        <v>268</v>
      </c>
      <c r="Q355" s="29" t="s">
        <v>59</v>
      </c>
      <c r="R355" s="29" t="s">
        <v>268</v>
      </c>
      <c r="S355" s="38" t="s">
        <v>46</v>
      </c>
      <c r="T355" s="39" t="s">
        <v>73</v>
      </c>
      <c r="U355" s="39" t="s">
        <v>59</v>
      </c>
      <c r="V355" s="38" t="s">
        <v>104</v>
      </c>
      <c r="W355" s="40" t="s">
        <v>59</v>
      </c>
      <c r="X355" s="13" t="s">
        <v>59</v>
      </c>
      <c r="Y355" s="13" t="s">
        <v>59</v>
      </c>
      <c r="Z355" s="13" t="s">
        <v>59</v>
      </c>
      <c r="AA355" s="13" t="s">
        <v>59</v>
      </c>
      <c r="AB355" s="41" t="s">
        <v>59</v>
      </c>
      <c r="AC355" s="16" t="s">
        <v>59</v>
      </c>
      <c r="AD355" s="42" t="s">
        <v>59</v>
      </c>
      <c r="AE355" s="42">
        <v>266.2</v>
      </c>
      <c r="AF355" s="42">
        <v>0</v>
      </c>
      <c r="AG355" s="43" t="s">
        <v>59</v>
      </c>
      <c r="AH355" s="43" t="s">
        <v>59</v>
      </c>
      <c r="AI355" s="43" t="s">
        <v>59</v>
      </c>
      <c r="AJ355" s="17" t="s">
        <v>59</v>
      </c>
      <c r="AK355" s="17" t="s">
        <v>59</v>
      </c>
      <c r="AL355" s="17">
        <v>95.565799999999996</v>
      </c>
      <c r="AM355" s="17" t="s">
        <v>59</v>
      </c>
      <c r="AN355" s="17" t="s">
        <v>59</v>
      </c>
      <c r="AO355" s="44" t="s">
        <v>61</v>
      </c>
    </row>
    <row r="356" spans="1:41" ht="12" customHeight="1" x14ac:dyDescent="0.35">
      <c r="A356" s="29" t="s">
        <v>96</v>
      </c>
      <c r="B356" s="30" t="s">
        <v>152</v>
      </c>
      <c r="C356" s="29">
        <v>30</v>
      </c>
      <c r="D356" s="29" t="s">
        <v>153</v>
      </c>
      <c r="E356" s="31" t="s">
        <v>158</v>
      </c>
      <c r="F356" s="29">
        <v>1125</v>
      </c>
      <c r="G356" s="29" t="s">
        <v>59</v>
      </c>
      <c r="H356" s="32">
        <v>46101</v>
      </c>
      <c r="I356" s="33">
        <v>46101</v>
      </c>
      <c r="J356" s="34" t="s">
        <v>79</v>
      </c>
      <c r="K356" s="35">
        <v>0.75284722222222222</v>
      </c>
      <c r="L356" s="35">
        <v>0.79783564814814811</v>
      </c>
      <c r="M356" s="36">
        <v>0.83618055555555559</v>
      </c>
      <c r="N356" s="35">
        <v>0.88116898148148148</v>
      </c>
      <c r="O356" s="37">
        <f>IF(N356&gt;M356,N356-M356,(N356+1)-M356)</f>
        <v>4.498842592592589E-2</v>
      </c>
      <c r="P356" s="29" t="s">
        <v>155</v>
      </c>
      <c r="Q356" s="29" t="s">
        <v>161</v>
      </c>
      <c r="R356" s="29" t="s">
        <v>162</v>
      </c>
      <c r="S356" s="38" t="s">
        <v>46</v>
      </c>
      <c r="T356" s="39" t="s">
        <v>73</v>
      </c>
      <c r="U356" s="39" t="s">
        <v>59</v>
      </c>
      <c r="V356" s="38" t="s">
        <v>100</v>
      </c>
      <c r="W356" s="40" t="s">
        <v>59</v>
      </c>
      <c r="X356" s="13" t="s">
        <v>59</v>
      </c>
      <c r="Y356" s="13" t="s">
        <v>59</v>
      </c>
      <c r="Z356" s="13" t="s">
        <v>59</v>
      </c>
      <c r="AA356" s="13" t="s">
        <v>59</v>
      </c>
      <c r="AB356" s="41" t="s">
        <v>59</v>
      </c>
      <c r="AC356" s="16" t="s">
        <v>59</v>
      </c>
      <c r="AD356" s="42" t="s">
        <v>59</v>
      </c>
      <c r="AE356" s="42">
        <v>238</v>
      </c>
      <c r="AF356" s="42">
        <v>13.8</v>
      </c>
      <c r="AG356" s="43" t="s">
        <v>59</v>
      </c>
      <c r="AH356" s="43" t="s">
        <v>59</v>
      </c>
      <c r="AI356" s="43" t="s">
        <v>59</v>
      </c>
      <c r="AJ356" s="17" t="s">
        <v>59</v>
      </c>
      <c r="AK356" s="17" t="s">
        <v>59</v>
      </c>
      <c r="AL356" s="17">
        <v>114.1426576872536</v>
      </c>
      <c r="AM356" s="17" t="s">
        <v>59</v>
      </c>
      <c r="AN356" s="17" t="s">
        <v>59</v>
      </c>
      <c r="AO356" s="44" t="s">
        <v>61</v>
      </c>
    </row>
    <row r="357" spans="1:41" ht="12" customHeight="1" x14ac:dyDescent="0.35">
      <c r="A357" s="29" t="s">
        <v>96</v>
      </c>
      <c r="B357" s="30" t="s">
        <v>152</v>
      </c>
      <c r="C357" s="29">
        <v>30</v>
      </c>
      <c r="D357" s="29" t="s">
        <v>153</v>
      </c>
      <c r="E357" s="31" t="s">
        <v>158</v>
      </c>
      <c r="F357" s="29">
        <v>1125</v>
      </c>
      <c r="G357" s="29" t="s">
        <v>59</v>
      </c>
      <c r="H357" s="32">
        <v>46102</v>
      </c>
      <c r="I357" s="33">
        <v>46102</v>
      </c>
      <c r="J357" s="34" t="s">
        <v>71</v>
      </c>
      <c r="K357" s="35">
        <v>0.40188657407407408</v>
      </c>
      <c r="L357" s="35">
        <v>0.52032407407407411</v>
      </c>
      <c r="M357" s="36">
        <v>0.48521990740740739</v>
      </c>
      <c r="N357" s="35">
        <v>0.60365740740740736</v>
      </c>
      <c r="O357" s="37">
        <f>IF(N357&gt;M357,N357-M357,(N357+1)-M357)</f>
        <v>0.11843749999999997</v>
      </c>
      <c r="P357" s="29" t="s">
        <v>155</v>
      </c>
      <c r="Q357" s="29" t="s">
        <v>163</v>
      </c>
      <c r="R357" s="29" t="s">
        <v>164</v>
      </c>
      <c r="S357" s="38" t="s">
        <v>46</v>
      </c>
      <c r="T357" s="39" t="s">
        <v>73</v>
      </c>
      <c r="U357" s="39" t="s">
        <v>59</v>
      </c>
      <c r="V357" s="38" t="s">
        <v>104</v>
      </c>
      <c r="W357" s="40" t="s">
        <v>59</v>
      </c>
      <c r="X357" s="13" t="s">
        <v>59</v>
      </c>
      <c r="Y357" s="13" t="s">
        <v>59</v>
      </c>
      <c r="Z357" s="13" t="s">
        <v>59</v>
      </c>
      <c r="AA357" s="13" t="s">
        <v>59</v>
      </c>
      <c r="AB357" s="41" t="s">
        <v>59</v>
      </c>
      <c r="AC357" s="16" t="s">
        <v>59</v>
      </c>
      <c r="AD357" s="42" t="s">
        <v>59</v>
      </c>
      <c r="AE357" s="42">
        <v>242.1</v>
      </c>
      <c r="AF357" s="42">
        <v>50.7</v>
      </c>
      <c r="AG357" s="43" t="s">
        <v>59</v>
      </c>
      <c r="AH357" s="43" t="s">
        <v>59</v>
      </c>
      <c r="AI357" s="43" t="s">
        <v>59</v>
      </c>
      <c r="AJ357" s="17" t="s">
        <v>59</v>
      </c>
      <c r="AK357" s="17" t="s">
        <v>59</v>
      </c>
      <c r="AL357" s="17">
        <v>116.10898078186595</v>
      </c>
      <c r="AM357" s="17" t="s">
        <v>59</v>
      </c>
      <c r="AN357" s="17" t="s">
        <v>59</v>
      </c>
      <c r="AO357" s="44" t="s">
        <v>61</v>
      </c>
    </row>
    <row r="358" spans="1:41" ht="12" customHeight="1" x14ac:dyDescent="0.35">
      <c r="A358" s="29" t="s">
        <v>96</v>
      </c>
      <c r="B358" s="30" t="s">
        <v>238</v>
      </c>
      <c r="C358" s="29">
        <v>6</v>
      </c>
      <c r="D358" s="29" t="s">
        <v>239</v>
      </c>
      <c r="E358" s="31" t="s">
        <v>250</v>
      </c>
      <c r="F358" s="29">
        <v>4512</v>
      </c>
      <c r="G358" s="29" t="s">
        <v>59</v>
      </c>
      <c r="H358" s="32">
        <v>46103</v>
      </c>
      <c r="I358" s="33">
        <v>46103</v>
      </c>
      <c r="J358" s="34" t="s">
        <v>74</v>
      </c>
      <c r="K358" s="35">
        <v>0.83149305555555553</v>
      </c>
      <c r="L358" s="35">
        <v>0.83343750000000005</v>
      </c>
      <c r="M358" s="36">
        <v>0.87315972222222227</v>
      </c>
      <c r="N358" s="35">
        <v>0.87510416666666668</v>
      </c>
      <c r="O358" s="37">
        <f>IF(N358&gt;M358,N358-M358,(N358+1)-M358)</f>
        <v>1.9444444444444153E-3</v>
      </c>
      <c r="P358" s="29" t="s">
        <v>251</v>
      </c>
      <c r="Q358" s="29" t="s">
        <v>258</v>
      </c>
      <c r="R358" s="29" t="s">
        <v>259</v>
      </c>
      <c r="S358" s="38" t="s">
        <v>49</v>
      </c>
      <c r="T358" s="39" t="s">
        <v>73</v>
      </c>
      <c r="U358" s="39" t="s">
        <v>59</v>
      </c>
      <c r="V358" s="38" t="s">
        <v>107</v>
      </c>
      <c r="W358" s="40" t="s">
        <v>59</v>
      </c>
      <c r="X358" s="13" t="s">
        <v>59</v>
      </c>
      <c r="Y358" s="13" t="s">
        <v>59</v>
      </c>
      <c r="Z358" s="13" t="s">
        <v>59</v>
      </c>
      <c r="AA358" s="13" t="s">
        <v>59</v>
      </c>
      <c r="AB358" s="41" t="s">
        <v>59</v>
      </c>
      <c r="AC358" s="16" t="s">
        <v>59</v>
      </c>
      <c r="AD358" s="42" t="s">
        <v>59</v>
      </c>
      <c r="AE358" s="42">
        <v>134.9</v>
      </c>
      <c r="AF358" s="42">
        <v>6.8</v>
      </c>
      <c r="AG358" s="43" t="s">
        <v>59</v>
      </c>
      <c r="AH358" s="43" t="s">
        <v>59</v>
      </c>
      <c r="AI358" s="43" t="s">
        <v>59</v>
      </c>
      <c r="AJ358" s="17" t="s">
        <v>59</v>
      </c>
      <c r="AK358" s="17" t="s">
        <v>59</v>
      </c>
      <c r="AL358" s="17">
        <v>118.1574111111111</v>
      </c>
      <c r="AM358" s="17" t="s">
        <v>59</v>
      </c>
      <c r="AN358" s="17" t="s">
        <v>59</v>
      </c>
      <c r="AO358" s="44" t="s">
        <v>61</v>
      </c>
    </row>
    <row r="359" spans="1:41" ht="12" customHeight="1" x14ac:dyDescent="0.35">
      <c r="A359" s="29" t="s">
        <v>96</v>
      </c>
      <c r="B359" s="30" t="s">
        <v>238</v>
      </c>
      <c r="C359" s="29">
        <v>6</v>
      </c>
      <c r="D359" s="29" t="s">
        <v>239</v>
      </c>
      <c r="E359" s="31" t="s">
        <v>250</v>
      </c>
      <c r="F359" s="29">
        <v>4512</v>
      </c>
      <c r="G359" s="29" t="s">
        <v>59</v>
      </c>
      <c r="H359" s="32">
        <v>46103</v>
      </c>
      <c r="I359" s="33">
        <v>46103</v>
      </c>
      <c r="J359" s="34" t="s">
        <v>74</v>
      </c>
      <c r="K359" s="35">
        <v>0.71293981481481483</v>
      </c>
      <c r="L359" s="35">
        <v>0.71440972222222221</v>
      </c>
      <c r="M359" s="36">
        <v>0.75460648148148146</v>
      </c>
      <c r="N359" s="35">
        <v>0.75607638888888884</v>
      </c>
      <c r="O359" s="37">
        <f>IF(N359&gt;M359,N359-M359,(N359+1)-M359)</f>
        <v>1.4699074074073781E-3</v>
      </c>
      <c r="P359" s="29" t="s">
        <v>251</v>
      </c>
      <c r="Q359" s="29" t="s">
        <v>252</v>
      </c>
      <c r="R359" s="29" t="s">
        <v>253</v>
      </c>
      <c r="S359" s="38" t="s">
        <v>46</v>
      </c>
      <c r="T359" s="39" t="s">
        <v>73</v>
      </c>
      <c r="U359" s="39" t="s">
        <v>59</v>
      </c>
      <c r="V359" s="38" t="s">
        <v>107</v>
      </c>
      <c r="W359" s="40" t="s">
        <v>59</v>
      </c>
      <c r="X359" s="13" t="s">
        <v>59</v>
      </c>
      <c r="Y359" s="13" t="s">
        <v>59</v>
      </c>
      <c r="Z359" s="13" t="s">
        <v>59</v>
      </c>
      <c r="AA359" s="13" t="s">
        <v>59</v>
      </c>
      <c r="AB359" s="41" t="s">
        <v>59</v>
      </c>
      <c r="AC359" s="16" t="s">
        <v>59</v>
      </c>
      <c r="AD359" s="42" t="s">
        <v>59</v>
      </c>
      <c r="AE359" s="42">
        <v>137.69999999999999</v>
      </c>
      <c r="AF359" s="42">
        <v>13.1</v>
      </c>
      <c r="AG359" s="43" t="s">
        <v>59</v>
      </c>
      <c r="AH359" s="43" t="s">
        <v>59</v>
      </c>
      <c r="AI359" s="43" t="s">
        <v>59</v>
      </c>
      <c r="AJ359" s="17" t="s">
        <v>59</v>
      </c>
      <c r="AK359" s="17" t="s">
        <v>59</v>
      </c>
      <c r="AL359" s="17">
        <v>120.60989999999997</v>
      </c>
      <c r="AM359" s="17" t="s">
        <v>59</v>
      </c>
      <c r="AN359" s="17" t="s">
        <v>59</v>
      </c>
      <c r="AO359" s="44" t="s">
        <v>61</v>
      </c>
    </row>
    <row r="360" spans="1:41" ht="12" customHeight="1" x14ac:dyDescent="0.35">
      <c r="A360" s="29" t="s">
        <v>96</v>
      </c>
      <c r="B360" s="30" t="s">
        <v>64</v>
      </c>
      <c r="C360" s="29">
        <v>19</v>
      </c>
      <c r="D360" s="29" t="s">
        <v>177</v>
      </c>
      <c r="E360" s="31" t="s">
        <v>178</v>
      </c>
      <c r="F360" s="29">
        <v>2925</v>
      </c>
      <c r="G360" s="29" t="s">
        <v>59</v>
      </c>
      <c r="H360" s="32">
        <v>46103</v>
      </c>
      <c r="I360" s="33">
        <v>46103</v>
      </c>
      <c r="J360" s="34" t="s">
        <v>74</v>
      </c>
      <c r="K360" s="35">
        <v>0.69465277777777779</v>
      </c>
      <c r="L360" s="35">
        <v>0.83216435185185189</v>
      </c>
      <c r="M360" s="36">
        <v>0.73631944444444442</v>
      </c>
      <c r="N360" s="35">
        <v>0.87383101851851852</v>
      </c>
      <c r="O360" s="37">
        <f>IF(N360&gt;M360,N360-M360,(N360+1)-M360)</f>
        <v>0.13751157407407411</v>
      </c>
      <c r="P360" s="29" t="s">
        <v>179</v>
      </c>
      <c r="Q360" s="29" t="s">
        <v>186</v>
      </c>
      <c r="R360" s="29" t="s">
        <v>187</v>
      </c>
      <c r="S360" s="38" t="s">
        <v>46</v>
      </c>
      <c r="T360" s="39" t="s">
        <v>73</v>
      </c>
      <c r="U360" s="39" t="s">
        <v>59</v>
      </c>
      <c r="V360" s="38" t="s">
        <v>107</v>
      </c>
      <c r="W360" s="40" t="s">
        <v>59</v>
      </c>
      <c r="X360" s="13" t="s">
        <v>59</v>
      </c>
      <c r="Y360" s="13" t="s">
        <v>59</v>
      </c>
      <c r="Z360" s="13" t="s">
        <v>59</v>
      </c>
      <c r="AA360" s="13" t="s">
        <v>59</v>
      </c>
      <c r="AB360" s="41" t="s">
        <v>59</v>
      </c>
      <c r="AC360" s="16" t="s">
        <v>59</v>
      </c>
      <c r="AD360" s="42" t="s">
        <v>59</v>
      </c>
      <c r="AE360" s="42">
        <v>262</v>
      </c>
      <c r="AF360" s="42">
        <v>1.71</v>
      </c>
      <c r="AG360" s="43" t="s">
        <v>59</v>
      </c>
      <c r="AH360" s="43" t="s">
        <v>59</v>
      </c>
      <c r="AI360" s="43" t="s">
        <v>59</v>
      </c>
      <c r="AJ360" s="17" t="s">
        <v>59</v>
      </c>
      <c r="AK360" s="17" t="s">
        <v>59</v>
      </c>
      <c r="AL360" s="17">
        <v>130.18819188757126</v>
      </c>
      <c r="AM360" s="17" t="s">
        <v>59</v>
      </c>
      <c r="AN360" s="17" t="s">
        <v>59</v>
      </c>
      <c r="AO360" s="44" t="s">
        <v>61</v>
      </c>
    </row>
    <row r="361" spans="1:41" ht="12" customHeight="1" x14ac:dyDescent="0.35">
      <c r="A361" s="29" t="s">
        <v>96</v>
      </c>
      <c r="B361" s="30" t="s">
        <v>64</v>
      </c>
      <c r="C361" s="29">
        <v>19</v>
      </c>
      <c r="D361" s="29" t="s">
        <v>177</v>
      </c>
      <c r="E361" s="31" t="s">
        <v>178</v>
      </c>
      <c r="F361" s="29">
        <v>2925</v>
      </c>
      <c r="G361" s="29" t="s">
        <v>59</v>
      </c>
      <c r="H361" s="32">
        <v>46102</v>
      </c>
      <c r="I361" s="33">
        <v>46102</v>
      </c>
      <c r="J361" s="34" t="s">
        <v>71</v>
      </c>
      <c r="K361" s="35">
        <v>0.72613425925925923</v>
      </c>
      <c r="L361" s="35">
        <v>0.8537731481481482</v>
      </c>
      <c r="M361" s="36">
        <v>0.76780092592592597</v>
      </c>
      <c r="N361" s="35">
        <v>0.89543981481481483</v>
      </c>
      <c r="O361" s="37">
        <f>IF(N361&gt;M361,N361-M361,(N361+1)-M361)</f>
        <v>0.12763888888888886</v>
      </c>
      <c r="P361" s="29" t="s">
        <v>179</v>
      </c>
      <c r="Q361" s="29" t="s">
        <v>180</v>
      </c>
      <c r="R361" s="29" t="s">
        <v>181</v>
      </c>
      <c r="S361" s="38" t="s">
        <v>46</v>
      </c>
      <c r="T361" s="39" t="s">
        <v>73</v>
      </c>
      <c r="U361" s="39" t="s">
        <v>59</v>
      </c>
      <c r="V361" s="38" t="s">
        <v>104</v>
      </c>
      <c r="W361" s="40" t="s">
        <v>59</v>
      </c>
      <c r="X361" s="13" t="s">
        <v>59</v>
      </c>
      <c r="Y361" s="13" t="s">
        <v>59</v>
      </c>
      <c r="Z361" s="13" t="s">
        <v>59</v>
      </c>
      <c r="AA361" s="13" t="s">
        <v>59</v>
      </c>
      <c r="AB361" s="41" t="s">
        <v>59</v>
      </c>
      <c r="AC361" s="16" t="s">
        <v>59</v>
      </c>
      <c r="AD361" s="42" t="s">
        <v>59</v>
      </c>
      <c r="AE361" s="42">
        <v>268</v>
      </c>
      <c r="AF361" s="42">
        <v>1.69</v>
      </c>
      <c r="AG361" s="43" t="s">
        <v>59</v>
      </c>
      <c r="AH361" s="43" t="s">
        <v>59</v>
      </c>
      <c r="AI361" s="43" t="s">
        <v>59</v>
      </c>
      <c r="AJ361" s="17" t="s">
        <v>59</v>
      </c>
      <c r="AK361" s="17" t="s">
        <v>59</v>
      </c>
      <c r="AL361" s="17">
        <v>133.16960086209579</v>
      </c>
      <c r="AM361" s="17" t="s">
        <v>59</v>
      </c>
      <c r="AN361" s="17" t="s">
        <v>59</v>
      </c>
      <c r="AO361" s="44" t="s">
        <v>61</v>
      </c>
    </row>
    <row r="362" spans="1:41" ht="12" customHeight="1" x14ac:dyDescent="0.35">
      <c r="A362" s="29" t="s">
        <v>96</v>
      </c>
      <c r="B362" s="30" t="s">
        <v>152</v>
      </c>
      <c r="C362" s="29">
        <v>30</v>
      </c>
      <c r="D362" s="29" t="s">
        <v>153</v>
      </c>
      <c r="E362" s="31" t="s">
        <v>158</v>
      </c>
      <c r="F362" s="29">
        <v>1125</v>
      </c>
      <c r="G362" s="29" t="s">
        <v>59</v>
      </c>
      <c r="H362" s="32">
        <v>46103</v>
      </c>
      <c r="I362" s="33">
        <v>46103</v>
      </c>
      <c r="J362" s="34" t="s">
        <v>74</v>
      </c>
      <c r="K362" s="35">
        <v>0.41273148148148148</v>
      </c>
      <c r="L362" s="35">
        <v>0.52224537037037033</v>
      </c>
      <c r="M362" s="36">
        <v>0.49606481481481479</v>
      </c>
      <c r="N362" s="35">
        <v>0.6055787037037037</v>
      </c>
      <c r="O362" s="37">
        <f>IF(N362&gt;M362,N362-M362,(N362+1)-M362)</f>
        <v>0.10951388888888891</v>
      </c>
      <c r="P362" s="29" t="s">
        <v>155</v>
      </c>
      <c r="Q362" s="29" t="s">
        <v>167</v>
      </c>
      <c r="R362" s="29" t="s">
        <v>168</v>
      </c>
      <c r="S362" s="38" t="s">
        <v>46</v>
      </c>
      <c r="T362" s="39" t="s">
        <v>73</v>
      </c>
      <c r="U362" s="39" t="s">
        <v>59</v>
      </c>
      <c r="V362" s="38" t="s">
        <v>107</v>
      </c>
      <c r="W362" s="40" t="s">
        <v>59</v>
      </c>
      <c r="X362" s="13" t="s">
        <v>59</v>
      </c>
      <c r="Y362" s="13" t="s">
        <v>59</v>
      </c>
      <c r="Z362" s="13" t="s">
        <v>59</v>
      </c>
      <c r="AA362" s="13" t="s">
        <v>59</v>
      </c>
      <c r="AB362" s="41" t="s">
        <v>59</v>
      </c>
      <c r="AC362" s="16" t="s">
        <v>59</v>
      </c>
      <c r="AD362" s="42" t="s">
        <v>59</v>
      </c>
      <c r="AE362" s="42">
        <v>294.60000000000002</v>
      </c>
      <c r="AF362" s="42">
        <v>52.5</v>
      </c>
      <c r="AG362" s="43" t="s">
        <v>59</v>
      </c>
      <c r="AH362" s="43" t="s">
        <v>59</v>
      </c>
      <c r="AI362" s="43" t="s">
        <v>59</v>
      </c>
      <c r="AJ362" s="17" t="s">
        <v>59</v>
      </c>
      <c r="AK362" s="17" t="s">
        <v>59</v>
      </c>
      <c r="AL362" s="17">
        <v>141.28750821287778</v>
      </c>
      <c r="AM362" s="17" t="s">
        <v>59</v>
      </c>
      <c r="AN362" s="17" t="s">
        <v>59</v>
      </c>
      <c r="AO362" s="44" t="s">
        <v>61</v>
      </c>
    </row>
    <row r="363" spans="1:41" ht="12" customHeight="1" x14ac:dyDescent="0.35">
      <c r="A363" s="29" t="s">
        <v>96</v>
      </c>
      <c r="B363" s="30" t="s">
        <v>152</v>
      </c>
      <c r="C363" s="29">
        <v>30</v>
      </c>
      <c r="D363" s="29" t="s">
        <v>153</v>
      </c>
      <c r="E363" s="31" t="s">
        <v>158</v>
      </c>
      <c r="F363" s="29">
        <v>1125</v>
      </c>
      <c r="G363" s="29" t="s">
        <v>59</v>
      </c>
      <c r="H363" s="32">
        <v>46102</v>
      </c>
      <c r="I363" s="33">
        <v>46102</v>
      </c>
      <c r="J363" s="34" t="s">
        <v>71</v>
      </c>
      <c r="K363" s="35">
        <v>0.78770833333333334</v>
      </c>
      <c r="L363" s="35">
        <v>0.87461805555555561</v>
      </c>
      <c r="M363" s="36">
        <v>0.87104166666666671</v>
      </c>
      <c r="N363" s="35">
        <v>0.95795138888888887</v>
      </c>
      <c r="O363" s="37">
        <f>IF(N363&gt;M363,N363-M363,(N363+1)-M363)</f>
        <v>8.6909722222222152E-2</v>
      </c>
      <c r="P363" s="29" t="s">
        <v>155</v>
      </c>
      <c r="Q363" s="29" t="s">
        <v>165</v>
      </c>
      <c r="R363" s="29" t="s">
        <v>166</v>
      </c>
      <c r="S363" s="38" t="s">
        <v>46</v>
      </c>
      <c r="T363" s="39" t="s">
        <v>73</v>
      </c>
      <c r="U363" s="39" t="s">
        <v>59</v>
      </c>
      <c r="V363" s="38" t="s">
        <v>104</v>
      </c>
      <c r="W363" s="40" t="s">
        <v>59</v>
      </c>
      <c r="X363" s="13" t="s">
        <v>59</v>
      </c>
      <c r="Y363" s="13" t="s">
        <v>59</v>
      </c>
      <c r="Z363" s="13" t="s">
        <v>59</v>
      </c>
      <c r="AA363" s="13" t="s">
        <v>59</v>
      </c>
      <c r="AB363" s="41" t="s">
        <v>59</v>
      </c>
      <c r="AC363" s="16" t="s">
        <v>59</v>
      </c>
      <c r="AD363" s="42" t="s">
        <v>59</v>
      </c>
      <c r="AE363" s="42">
        <v>302.3</v>
      </c>
      <c r="AF363" s="42">
        <v>19.899999999999999</v>
      </c>
      <c r="AG363" s="43" t="s">
        <v>59</v>
      </c>
      <c r="AH363" s="43" t="s">
        <v>59</v>
      </c>
      <c r="AI363" s="43" t="s">
        <v>59</v>
      </c>
      <c r="AJ363" s="17" t="s">
        <v>59</v>
      </c>
      <c r="AK363" s="17" t="s">
        <v>59</v>
      </c>
      <c r="AL363" s="17">
        <v>144.98035890275952</v>
      </c>
      <c r="AM363" s="17" t="s">
        <v>59</v>
      </c>
      <c r="AN363" s="17" t="s">
        <v>59</v>
      </c>
      <c r="AO363" s="44" t="s">
        <v>61</v>
      </c>
    </row>
    <row r="364" spans="1:41" ht="12" customHeight="1" x14ac:dyDescent="0.35">
      <c r="A364" s="29" t="s">
        <v>96</v>
      </c>
      <c r="B364" s="30" t="s">
        <v>64</v>
      </c>
      <c r="C364" s="29">
        <v>19</v>
      </c>
      <c r="D364" s="29" t="s">
        <v>177</v>
      </c>
      <c r="E364" s="31" t="s">
        <v>178</v>
      </c>
      <c r="F364" s="29">
        <v>2925</v>
      </c>
      <c r="G364" s="29" t="s">
        <v>59</v>
      </c>
      <c r="H364" s="32">
        <v>46103</v>
      </c>
      <c r="I364" s="33">
        <v>46103</v>
      </c>
      <c r="J364" s="34" t="s">
        <v>74</v>
      </c>
      <c r="K364" s="35">
        <v>0.52055555555555555</v>
      </c>
      <c r="L364" s="35">
        <v>0.54498842592592589</v>
      </c>
      <c r="M364" s="36">
        <v>0.56222222222222218</v>
      </c>
      <c r="N364" s="35">
        <v>0.58665509259259263</v>
      </c>
      <c r="O364" s="37">
        <f>IF(N364&gt;M364,N364-M364,(N364+1)-M364)</f>
        <v>2.4432870370370452E-2</v>
      </c>
      <c r="P364" s="29" t="s">
        <v>179</v>
      </c>
      <c r="Q364" s="29" t="s">
        <v>186</v>
      </c>
      <c r="R364" s="29" t="s">
        <v>187</v>
      </c>
      <c r="S364" s="38" t="s">
        <v>49</v>
      </c>
      <c r="T364" s="39" t="s">
        <v>73</v>
      </c>
      <c r="U364" s="39" t="s">
        <v>59</v>
      </c>
      <c r="V364" s="38" t="s">
        <v>107</v>
      </c>
      <c r="W364" s="40" t="s">
        <v>59</v>
      </c>
      <c r="X364" s="13" t="s">
        <v>59</v>
      </c>
      <c r="Y364" s="13" t="s">
        <v>59</v>
      </c>
      <c r="Z364" s="13" t="s">
        <v>59</v>
      </c>
      <c r="AA364" s="13" t="s">
        <v>59</v>
      </c>
      <c r="AB364" s="41" t="s">
        <v>59</v>
      </c>
      <c r="AC364" s="16" t="s">
        <v>59</v>
      </c>
      <c r="AD364" s="42" t="s">
        <v>59</v>
      </c>
      <c r="AE364" s="42">
        <v>296.89999999999998</v>
      </c>
      <c r="AF364" s="42">
        <v>2.27</v>
      </c>
      <c r="AG364" s="43" t="s">
        <v>59</v>
      </c>
      <c r="AH364" s="43" t="s">
        <v>59</v>
      </c>
      <c r="AI364" s="43" t="s">
        <v>59</v>
      </c>
      <c r="AJ364" s="17" t="s">
        <v>59</v>
      </c>
      <c r="AK364" s="17" t="s">
        <v>59</v>
      </c>
      <c r="AL364" s="17">
        <v>147.53005408938895</v>
      </c>
      <c r="AM364" s="17" t="s">
        <v>59</v>
      </c>
      <c r="AN364" s="17" t="s">
        <v>59</v>
      </c>
      <c r="AO364" s="44" t="s">
        <v>61</v>
      </c>
    </row>
    <row r="365" spans="1:41" ht="12" customHeight="1" x14ac:dyDescent="0.35">
      <c r="A365" s="29" t="s">
        <v>96</v>
      </c>
      <c r="B365" s="30" t="s">
        <v>266</v>
      </c>
      <c r="C365" s="29">
        <v>35</v>
      </c>
      <c r="D365" s="29" t="s">
        <v>267</v>
      </c>
      <c r="E365" s="31" t="s">
        <v>372</v>
      </c>
      <c r="F365" s="29">
        <v>1231</v>
      </c>
      <c r="G365" s="29"/>
      <c r="H365" s="32">
        <v>46103</v>
      </c>
      <c r="I365" s="33">
        <v>46103</v>
      </c>
      <c r="J365" s="34" t="s">
        <v>74</v>
      </c>
      <c r="K365" s="35">
        <v>0.375</v>
      </c>
      <c r="L365" s="35">
        <v>0.53125</v>
      </c>
      <c r="M365" s="36">
        <v>0.375</v>
      </c>
      <c r="N365" s="35">
        <v>0.53125</v>
      </c>
      <c r="O365" s="37">
        <f>IF(N365&gt;M365,N365-M365,(N365+1)-M365)</f>
        <v>0.15625</v>
      </c>
      <c r="P365" s="29" t="s">
        <v>268</v>
      </c>
      <c r="Q365" s="29" t="s">
        <v>59</v>
      </c>
      <c r="R365" s="29" t="s">
        <v>268</v>
      </c>
      <c r="S365" s="38" t="s">
        <v>46</v>
      </c>
      <c r="T365" s="39" t="s">
        <v>73</v>
      </c>
      <c r="U365" s="39" t="s">
        <v>59</v>
      </c>
      <c r="V365" s="38" t="s">
        <v>107</v>
      </c>
      <c r="W365" s="40" t="s">
        <v>59</v>
      </c>
      <c r="X365" s="13" t="s">
        <v>59</v>
      </c>
      <c r="Y365" s="13" t="s">
        <v>59</v>
      </c>
      <c r="Z365" s="13" t="s">
        <v>59</v>
      </c>
      <c r="AA365" s="13" t="s">
        <v>59</v>
      </c>
      <c r="AB365" s="41" t="s">
        <v>59</v>
      </c>
      <c r="AC365" s="16" t="s">
        <v>59</v>
      </c>
      <c r="AD365" s="42" t="s">
        <v>59</v>
      </c>
      <c r="AE365" s="42">
        <v>416.7</v>
      </c>
      <c r="AF365" s="42">
        <v>0</v>
      </c>
      <c r="AG365" s="43" t="s">
        <v>59</v>
      </c>
      <c r="AH365" s="43" t="s">
        <v>59</v>
      </c>
      <c r="AI365" s="43" t="s">
        <v>59</v>
      </c>
      <c r="AJ365" s="17" t="s">
        <v>59</v>
      </c>
      <c r="AK365" s="17" t="s">
        <v>59</v>
      </c>
      <c r="AL365" s="17">
        <v>149.59529999999998</v>
      </c>
      <c r="AM365" s="17" t="s">
        <v>59</v>
      </c>
      <c r="AN365" s="17" t="s">
        <v>59</v>
      </c>
      <c r="AO365" s="44" t="s">
        <v>61</v>
      </c>
    </row>
    <row r="366" spans="1:41" ht="12" customHeight="1" x14ac:dyDescent="0.35">
      <c r="A366" s="29" t="s">
        <v>96</v>
      </c>
      <c r="B366" s="30" t="s">
        <v>238</v>
      </c>
      <c r="C366" s="29">
        <v>6</v>
      </c>
      <c r="D366" s="29" t="s">
        <v>239</v>
      </c>
      <c r="E366" s="31" t="s">
        <v>250</v>
      </c>
      <c r="F366" s="29">
        <v>4512</v>
      </c>
      <c r="G366" s="29" t="s">
        <v>59</v>
      </c>
      <c r="H366" s="32">
        <v>46103</v>
      </c>
      <c r="I366" s="33">
        <v>46103</v>
      </c>
      <c r="J366" s="34" t="s">
        <v>74</v>
      </c>
      <c r="K366" s="35">
        <v>0.82913194444444449</v>
      </c>
      <c r="L366" s="35">
        <v>0.83149305555555553</v>
      </c>
      <c r="M366" s="36">
        <v>0.87079861111111112</v>
      </c>
      <c r="N366" s="35">
        <v>0.87315972222222227</v>
      </c>
      <c r="O366" s="37">
        <f>IF(N366&gt;M366,N366-M366,(N366+1)-M366)</f>
        <v>2.3611111111111471E-3</v>
      </c>
      <c r="P366" s="29" t="s">
        <v>251</v>
      </c>
      <c r="Q366" s="29" t="s">
        <v>256</v>
      </c>
      <c r="R366" s="29" t="s">
        <v>257</v>
      </c>
      <c r="S366" s="38" t="s">
        <v>49</v>
      </c>
      <c r="T366" s="39" t="s">
        <v>73</v>
      </c>
      <c r="U366" s="39" t="s">
        <v>59</v>
      </c>
      <c r="V366" s="38" t="s">
        <v>107</v>
      </c>
      <c r="W366" s="40" t="s">
        <v>59</v>
      </c>
      <c r="X366" s="13" t="s">
        <v>59</v>
      </c>
      <c r="Y366" s="13" t="s">
        <v>59</v>
      </c>
      <c r="Z366" s="13" t="s">
        <v>59</v>
      </c>
      <c r="AA366" s="13" t="s">
        <v>59</v>
      </c>
      <c r="AB366" s="41" t="s">
        <v>59</v>
      </c>
      <c r="AC366" s="16" t="s">
        <v>59</v>
      </c>
      <c r="AD366" s="42" t="s">
        <v>59</v>
      </c>
      <c r="AE366" s="42">
        <v>177.5</v>
      </c>
      <c r="AF366" s="42">
        <v>8.6999999999999993</v>
      </c>
      <c r="AG366" s="43" t="s">
        <v>59</v>
      </c>
      <c r="AH366" s="43" t="s">
        <v>59</v>
      </c>
      <c r="AI366" s="43" t="s">
        <v>59</v>
      </c>
      <c r="AJ366" s="17" t="s">
        <v>59</v>
      </c>
      <c r="AK366" s="17" t="s">
        <v>59</v>
      </c>
      <c r="AL366" s="17">
        <v>155.47027777777777</v>
      </c>
      <c r="AM366" s="17" t="s">
        <v>59</v>
      </c>
      <c r="AN366" s="17" t="s">
        <v>59</v>
      </c>
      <c r="AO366" s="44" t="s">
        <v>61</v>
      </c>
    </row>
    <row r="367" spans="1:41" ht="12" customHeight="1" x14ac:dyDescent="0.35">
      <c r="A367" s="29" t="s">
        <v>96</v>
      </c>
      <c r="B367" s="30" t="s">
        <v>152</v>
      </c>
      <c r="C367" s="29">
        <v>30</v>
      </c>
      <c r="D367" s="29" t="s">
        <v>153</v>
      </c>
      <c r="E367" s="31" t="s">
        <v>154</v>
      </c>
      <c r="F367" s="29">
        <v>1124</v>
      </c>
      <c r="G367" s="29" t="s">
        <v>59</v>
      </c>
      <c r="H367" s="32">
        <v>46103</v>
      </c>
      <c r="I367" s="33">
        <v>46103</v>
      </c>
      <c r="J367" s="34" t="s">
        <v>74</v>
      </c>
      <c r="K367" s="35">
        <v>0.79217592592592589</v>
      </c>
      <c r="L367" s="35">
        <v>0.83335648148148145</v>
      </c>
      <c r="M367" s="36">
        <v>0.87550925925925926</v>
      </c>
      <c r="N367" s="35">
        <v>0.91668981481481482</v>
      </c>
      <c r="O367" s="37">
        <f>IF(N367&gt;M367,N367-M367,(N367+1)-M367)</f>
        <v>4.1180555555555554E-2</v>
      </c>
      <c r="P367" s="29" t="s">
        <v>155</v>
      </c>
      <c r="Q367" s="29" t="s">
        <v>156</v>
      </c>
      <c r="R367" s="29" t="s">
        <v>157</v>
      </c>
      <c r="S367" s="38" t="s">
        <v>46</v>
      </c>
      <c r="T367" s="39" t="s">
        <v>73</v>
      </c>
      <c r="U367" s="39" t="s">
        <v>59</v>
      </c>
      <c r="V367" s="38" t="s">
        <v>107</v>
      </c>
      <c r="W367" s="40" t="s">
        <v>59</v>
      </c>
      <c r="X367" s="13" t="s">
        <v>59</v>
      </c>
      <c r="Y367" s="13" t="s">
        <v>59</v>
      </c>
      <c r="Z367" s="13" t="s">
        <v>59</v>
      </c>
      <c r="AA367" s="13" t="s">
        <v>59</v>
      </c>
      <c r="AB367" s="41" t="s">
        <v>59</v>
      </c>
      <c r="AC367" s="16" t="s">
        <v>59</v>
      </c>
      <c r="AD367" s="42" t="s">
        <v>59</v>
      </c>
      <c r="AE367" s="42">
        <v>326.3</v>
      </c>
      <c r="AF367" s="42">
        <v>21.6</v>
      </c>
      <c r="AG367" s="43" t="s">
        <v>59</v>
      </c>
      <c r="AH367" s="43" t="s">
        <v>59</v>
      </c>
      <c r="AI367" s="43" t="s">
        <v>59</v>
      </c>
      <c r="AJ367" s="17" t="s">
        <v>59</v>
      </c>
      <c r="AK367" s="17" t="s">
        <v>59</v>
      </c>
      <c r="AL367" s="17">
        <v>156.49054287122206</v>
      </c>
      <c r="AM367" s="17" t="s">
        <v>59</v>
      </c>
      <c r="AN367" s="17" t="s">
        <v>59</v>
      </c>
      <c r="AO367" s="44" t="s">
        <v>61</v>
      </c>
    </row>
    <row r="368" spans="1:41" ht="12" customHeight="1" x14ac:dyDescent="0.35">
      <c r="A368" s="29" t="s">
        <v>96</v>
      </c>
      <c r="B368" s="30" t="s">
        <v>238</v>
      </c>
      <c r="C368" s="29">
        <v>6</v>
      </c>
      <c r="D368" s="29" t="s">
        <v>239</v>
      </c>
      <c r="E368" s="31" t="s">
        <v>250</v>
      </c>
      <c r="F368" s="29">
        <v>4512</v>
      </c>
      <c r="G368" s="29"/>
      <c r="H368" s="32">
        <v>46103</v>
      </c>
      <c r="I368" s="33">
        <v>46103</v>
      </c>
      <c r="J368" s="34" t="s">
        <v>74</v>
      </c>
      <c r="K368" s="35">
        <v>0.71440972222222221</v>
      </c>
      <c r="L368" s="35">
        <v>0.82913194444444449</v>
      </c>
      <c r="M368" s="36">
        <v>0.75607638888888884</v>
      </c>
      <c r="N368" s="35">
        <v>0.87079861111111112</v>
      </c>
      <c r="O368" s="37">
        <f>IF(N368&gt;M368,N368-M368,(N368+1)-M368)</f>
        <v>0.11472222222222228</v>
      </c>
      <c r="P368" s="29" t="s">
        <v>251</v>
      </c>
      <c r="Q368" s="29" t="s">
        <v>59</v>
      </c>
      <c r="R368" s="29" t="s">
        <v>251</v>
      </c>
      <c r="S368" s="38" t="s">
        <v>46</v>
      </c>
      <c r="T368" s="39" t="s">
        <v>73</v>
      </c>
      <c r="U368" s="39" t="s">
        <v>59</v>
      </c>
      <c r="V368" s="38" t="s">
        <v>107</v>
      </c>
      <c r="W368" s="40" t="s">
        <v>59</v>
      </c>
      <c r="X368" s="13" t="s">
        <v>59</v>
      </c>
      <c r="Y368" s="13" t="s">
        <v>59</v>
      </c>
      <c r="Z368" s="13" t="s">
        <v>59</v>
      </c>
      <c r="AA368" s="13" t="s">
        <v>59</v>
      </c>
      <c r="AB368" s="41" t="s">
        <v>59</v>
      </c>
      <c r="AC368" s="16" t="s">
        <v>59</v>
      </c>
      <c r="AD368" s="42" t="s">
        <v>59</v>
      </c>
      <c r="AE368" s="42">
        <v>197.7</v>
      </c>
      <c r="AF368" s="42">
        <v>12.6</v>
      </c>
      <c r="AG368" s="43" t="s">
        <v>59</v>
      </c>
      <c r="AH368" s="43" t="s">
        <v>59</v>
      </c>
      <c r="AI368" s="43" t="s">
        <v>59</v>
      </c>
      <c r="AJ368" s="17" t="s">
        <v>59</v>
      </c>
      <c r="AK368" s="17" t="s">
        <v>59</v>
      </c>
      <c r="AL368" s="17">
        <v>173.1632333333333</v>
      </c>
      <c r="AM368" s="17" t="s">
        <v>59</v>
      </c>
      <c r="AN368" s="17" t="s">
        <v>59</v>
      </c>
      <c r="AO368" s="44" t="s">
        <v>61</v>
      </c>
    </row>
    <row r="369" spans="1:41" ht="12" customHeight="1" x14ac:dyDescent="0.35">
      <c r="A369" s="29" t="s">
        <v>96</v>
      </c>
      <c r="B369" s="30" t="s">
        <v>266</v>
      </c>
      <c r="C369" s="29">
        <v>35</v>
      </c>
      <c r="D369" s="29" t="s">
        <v>267</v>
      </c>
      <c r="E369" s="31" t="s">
        <v>372</v>
      </c>
      <c r="F369" s="29">
        <v>1231</v>
      </c>
      <c r="G369" s="29"/>
      <c r="H369" s="32">
        <v>46101</v>
      </c>
      <c r="I369" s="33">
        <v>46101</v>
      </c>
      <c r="J369" s="34" t="s">
        <v>79</v>
      </c>
      <c r="K369" s="35">
        <v>0.70833333333333337</v>
      </c>
      <c r="L369" s="35">
        <v>0.85416666666666663</v>
      </c>
      <c r="M369" s="36">
        <v>0.70833333333333337</v>
      </c>
      <c r="N369" s="35">
        <v>0.85416666666666663</v>
      </c>
      <c r="O369" s="37">
        <f>IF(N369&gt;M369,N369-M369,(N369+1)-M369)</f>
        <v>0.14583333333333326</v>
      </c>
      <c r="P369" s="29" t="s">
        <v>268</v>
      </c>
      <c r="Q369" s="29" t="s">
        <v>59</v>
      </c>
      <c r="R369" s="29" t="s">
        <v>268</v>
      </c>
      <c r="S369" s="38" t="s">
        <v>46</v>
      </c>
      <c r="T369" s="39" t="s">
        <v>73</v>
      </c>
      <c r="U369" s="39" t="s">
        <v>59</v>
      </c>
      <c r="V369" s="38" t="s">
        <v>100</v>
      </c>
      <c r="W369" s="40" t="s">
        <v>59</v>
      </c>
      <c r="X369" s="13" t="s">
        <v>59</v>
      </c>
      <c r="Y369" s="13" t="s">
        <v>59</v>
      </c>
      <c r="Z369" s="13" t="s">
        <v>59</v>
      </c>
      <c r="AA369" s="13" t="s">
        <v>59</v>
      </c>
      <c r="AB369" s="41" t="s">
        <v>59</v>
      </c>
      <c r="AC369" s="16" t="s">
        <v>59</v>
      </c>
      <c r="AD369" s="42" t="s">
        <v>59</v>
      </c>
      <c r="AE369" s="42">
        <v>586.4</v>
      </c>
      <c r="AF369" s="42">
        <v>0</v>
      </c>
      <c r="AG369" s="43" t="s">
        <v>59</v>
      </c>
      <c r="AH369" s="43" t="s">
        <v>59</v>
      </c>
      <c r="AI369" s="43" t="s">
        <v>59</v>
      </c>
      <c r="AJ369" s="17" t="s">
        <v>59</v>
      </c>
      <c r="AK369" s="17" t="s">
        <v>59</v>
      </c>
      <c r="AL369" s="17">
        <v>210.51759999999999</v>
      </c>
      <c r="AM369" s="17" t="s">
        <v>59</v>
      </c>
      <c r="AN369" s="17" t="s">
        <v>59</v>
      </c>
      <c r="AO369" s="44" t="s">
        <v>61</v>
      </c>
    </row>
    <row r="370" spans="1:41" ht="12" customHeight="1" x14ac:dyDescent="0.35">
      <c r="A370" s="29" t="s">
        <v>96</v>
      </c>
      <c r="B370" s="30" t="s">
        <v>152</v>
      </c>
      <c r="C370" s="29">
        <v>30</v>
      </c>
      <c r="D370" s="29" t="s">
        <v>153</v>
      </c>
      <c r="E370" s="31" t="s">
        <v>158</v>
      </c>
      <c r="F370" s="29">
        <v>1125</v>
      </c>
      <c r="G370" s="29" t="s">
        <v>59</v>
      </c>
      <c r="H370" s="32">
        <v>46103</v>
      </c>
      <c r="I370" s="33">
        <v>46103</v>
      </c>
      <c r="J370" s="34" t="s">
        <v>74</v>
      </c>
      <c r="K370" s="35">
        <v>0.72422453703703704</v>
      </c>
      <c r="L370" s="35">
        <v>0.76962962962962966</v>
      </c>
      <c r="M370" s="36">
        <v>0.80755787037037041</v>
      </c>
      <c r="N370" s="35">
        <v>0.85296296296296292</v>
      </c>
      <c r="O370" s="37">
        <f>IF(N370&gt;M370,N370-M370,(N370+1)-M370)</f>
        <v>4.5405092592592511E-2</v>
      </c>
      <c r="P370" s="29" t="s">
        <v>155</v>
      </c>
      <c r="Q370" s="29" t="s">
        <v>156</v>
      </c>
      <c r="R370" s="29" t="s">
        <v>157</v>
      </c>
      <c r="S370" s="38" t="s">
        <v>46</v>
      </c>
      <c r="T370" s="39" t="s">
        <v>73</v>
      </c>
      <c r="U370" s="39" t="s">
        <v>59</v>
      </c>
      <c r="V370" s="38" t="s">
        <v>107</v>
      </c>
      <c r="W370" s="40" t="s">
        <v>59</v>
      </c>
      <c r="X370" s="13" t="s">
        <v>59</v>
      </c>
      <c r="Y370" s="13" t="s">
        <v>59</v>
      </c>
      <c r="Z370" s="13" t="s">
        <v>59</v>
      </c>
      <c r="AA370" s="13" t="s">
        <v>59</v>
      </c>
      <c r="AB370" s="41" t="s">
        <v>59</v>
      </c>
      <c r="AC370" s="16" t="s">
        <v>59</v>
      </c>
      <c r="AD370" s="42" t="s">
        <v>59</v>
      </c>
      <c r="AE370" s="42">
        <v>468.7</v>
      </c>
      <c r="AF370" s="42">
        <v>27.3</v>
      </c>
      <c r="AG370" s="43" t="s">
        <v>59</v>
      </c>
      <c r="AH370" s="43" t="s">
        <v>59</v>
      </c>
      <c r="AI370" s="43" t="s">
        <v>59</v>
      </c>
      <c r="AJ370" s="17" t="s">
        <v>59</v>
      </c>
      <c r="AK370" s="17" t="s">
        <v>59</v>
      </c>
      <c r="AL370" s="17">
        <v>224.78430108409981</v>
      </c>
      <c r="AM370" s="17" t="s">
        <v>59</v>
      </c>
      <c r="AN370" s="17" t="s">
        <v>59</v>
      </c>
      <c r="AO370" s="44" t="s">
        <v>61</v>
      </c>
    </row>
    <row r="371" spans="1:41" ht="12" customHeight="1" x14ac:dyDescent="0.35">
      <c r="A371" s="29" t="s">
        <v>96</v>
      </c>
      <c r="B371" s="30" t="s">
        <v>266</v>
      </c>
      <c r="C371" s="29">
        <v>35</v>
      </c>
      <c r="D371" s="29" t="s">
        <v>267</v>
      </c>
      <c r="E371" s="31" t="s">
        <v>372</v>
      </c>
      <c r="F371" s="29">
        <v>1231</v>
      </c>
      <c r="G371" s="29"/>
      <c r="H371" s="32">
        <v>46102</v>
      </c>
      <c r="I371" s="33">
        <v>46102</v>
      </c>
      <c r="J371" s="34" t="s">
        <v>71</v>
      </c>
      <c r="K371" s="35">
        <v>0.71875</v>
      </c>
      <c r="L371" s="35">
        <v>0.86458333333333337</v>
      </c>
      <c r="M371" s="36">
        <v>0.71875</v>
      </c>
      <c r="N371" s="35">
        <v>0.86458333333333337</v>
      </c>
      <c r="O371" s="37">
        <f>IF(N371&gt;M371,N371-M371,(N371+1)-M371)</f>
        <v>0.14583333333333337</v>
      </c>
      <c r="P371" s="29" t="s">
        <v>268</v>
      </c>
      <c r="Q371" s="29" t="s">
        <v>59</v>
      </c>
      <c r="R371" s="29" t="s">
        <v>268</v>
      </c>
      <c r="S371" s="38" t="s">
        <v>46</v>
      </c>
      <c r="T371" s="39" t="s">
        <v>73</v>
      </c>
      <c r="U371" s="39" t="s">
        <v>59</v>
      </c>
      <c r="V371" s="38" t="s">
        <v>104</v>
      </c>
      <c r="W371" s="40" t="s">
        <v>59</v>
      </c>
      <c r="X371" s="13" t="s">
        <v>59</v>
      </c>
      <c r="Y371" s="13" t="s">
        <v>59</v>
      </c>
      <c r="Z371" s="13" t="s">
        <v>59</v>
      </c>
      <c r="AA371" s="13" t="s">
        <v>59</v>
      </c>
      <c r="AB371" s="41" t="s">
        <v>59</v>
      </c>
      <c r="AC371" s="16" t="s">
        <v>59</v>
      </c>
      <c r="AD371" s="42" t="s">
        <v>59</v>
      </c>
      <c r="AE371" s="42">
        <v>740</v>
      </c>
      <c r="AF371" s="42">
        <v>0</v>
      </c>
      <c r="AG371" s="43" t="s">
        <v>59</v>
      </c>
      <c r="AH371" s="43" t="s">
        <v>59</v>
      </c>
      <c r="AI371" s="43" t="s">
        <v>59</v>
      </c>
      <c r="AJ371" s="17" t="s">
        <v>59</v>
      </c>
      <c r="AK371" s="17" t="s">
        <v>59</v>
      </c>
      <c r="AL371" s="17">
        <v>265.65999999999997</v>
      </c>
      <c r="AM371" s="17" t="s">
        <v>59</v>
      </c>
      <c r="AN371" s="17" t="s">
        <v>59</v>
      </c>
      <c r="AO371" s="44" t="s">
        <v>61</v>
      </c>
    </row>
    <row r="372" spans="1:41" ht="12" customHeight="1" x14ac:dyDescent="0.35">
      <c r="A372" s="29" t="s">
        <v>96</v>
      </c>
      <c r="B372" s="30" t="s">
        <v>266</v>
      </c>
      <c r="C372" s="29">
        <v>35</v>
      </c>
      <c r="D372" s="29" t="s">
        <v>267</v>
      </c>
      <c r="E372" s="31" t="s">
        <v>372</v>
      </c>
      <c r="F372" s="29">
        <v>1231</v>
      </c>
      <c r="G372" s="29"/>
      <c r="H372" s="32">
        <v>46103</v>
      </c>
      <c r="I372" s="33">
        <v>46103</v>
      </c>
      <c r="J372" s="34" t="s">
        <v>74</v>
      </c>
      <c r="K372" s="35">
        <v>0.70833333333333337</v>
      </c>
      <c r="L372" s="35">
        <v>0.84375</v>
      </c>
      <c r="M372" s="36">
        <v>0.70833333333333337</v>
      </c>
      <c r="N372" s="35">
        <v>0.84375</v>
      </c>
      <c r="O372" s="37">
        <f>IF(N372&gt;M372,N372-M372,(N372+1)-M372)</f>
        <v>0.13541666666666663</v>
      </c>
      <c r="P372" s="29" t="s">
        <v>268</v>
      </c>
      <c r="Q372" s="29" t="s">
        <v>59</v>
      </c>
      <c r="R372" s="29" t="s">
        <v>268</v>
      </c>
      <c r="S372" s="38" t="s">
        <v>46</v>
      </c>
      <c r="T372" s="39" t="s">
        <v>73</v>
      </c>
      <c r="U372" s="39" t="s">
        <v>59</v>
      </c>
      <c r="V372" s="38" t="s">
        <v>107</v>
      </c>
      <c r="W372" s="40" t="s">
        <v>59</v>
      </c>
      <c r="X372" s="13" t="s">
        <v>59</v>
      </c>
      <c r="Y372" s="13" t="s">
        <v>59</v>
      </c>
      <c r="Z372" s="13" t="s">
        <v>59</v>
      </c>
      <c r="AA372" s="13" t="s">
        <v>59</v>
      </c>
      <c r="AB372" s="41" t="s">
        <v>59</v>
      </c>
      <c r="AC372" s="16" t="s">
        <v>59</v>
      </c>
      <c r="AD372" s="42" t="s">
        <v>59</v>
      </c>
      <c r="AE372" s="42">
        <v>996.6</v>
      </c>
      <c r="AF372" s="42">
        <v>0</v>
      </c>
      <c r="AG372" s="43" t="s">
        <v>59</v>
      </c>
      <c r="AH372" s="43" t="s">
        <v>59</v>
      </c>
      <c r="AI372" s="43" t="s">
        <v>59</v>
      </c>
      <c r="AJ372" s="17" t="s">
        <v>59</v>
      </c>
      <c r="AK372" s="17" t="s">
        <v>59</v>
      </c>
      <c r="AL372" s="17">
        <v>357.77940000000001</v>
      </c>
      <c r="AM372" s="17" t="s">
        <v>59</v>
      </c>
      <c r="AN372" s="17" t="s">
        <v>59</v>
      </c>
      <c r="AO372" s="44" t="s">
        <v>61</v>
      </c>
    </row>
    <row r="373" spans="1:41" ht="12" customHeight="1" x14ac:dyDescent="0.35">
      <c r="A373" s="29" t="s">
        <v>76</v>
      </c>
      <c r="B373" s="30" t="s">
        <v>228</v>
      </c>
      <c r="C373" s="29">
        <v>86</v>
      </c>
      <c r="D373" s="29" t="s">
        <v>229</v>
      </c>
      <c r="E373" s="31" t="s">
        <v>230</v>
      </c>
      <c r="F373" s="29">
        <v>6139</v>
      </c>
      <c r="G373" s="29" t="s">
        <v>59</v>
      </c>
      <c r="H373" s="32">
        <v>46101</v>
      </c>
      <c r="I373" s="33">
        <v>46101</v>
      </c>
      <c r="J373" s="34" t="s">
        <v>79</v>
      </c>
      <c r="K373" s="35">
        <v>0.3818287037037037</v>
      </c>
      <c r="L373" s="35">
        <v>0.544525462962963</v>
      </c>
      <c r="M373" s="36">
        <v>0.7568287037037037</v>
      </c>
      <c r="N373" s="35">
        <v>0.919525462962963</v>
      </c>
      <c r="O373" s="37">
        <f>IF(N373&gt;M373,N373-M373,(N373+1)-M373)</f>
        <v>0.1626967592592593</v>
      </c>
      <c r="P373" s="29" t="s">
        <v>231</v>
      </c>
      <c r="Q373" s="29" t="s">
        <v>59</v>
      </c>
      <c r="R373" s="29" t="s">
        <v>231</v>
      </c>
      <c r="S373" s="38" t="s">
        <v>46</v>
      </c>
      <c r="T373" s="39" t="s">
        <v>73</v>
      </c>
      <c r="U373" s="39" t="s">
        <v>59</v>
      </c>
      <c r="V373" s="38" t="s">
        <v>100</v>
      </c>
      <c r="W373" s="40" t="s">
        <v>59</v>
      </c>
      <c r="X373" s="13" t="s">
        <v>59</v>
      </c>
      <c r="Y373" s="13" t="s">
        <v>59</v>
      </c>
      <c r="Z373" s="13" t="s">
        <v>59</v>
      </c>
      <c r="AA373" s="13" t="s">
        <v>59</v>
      </c>
      <c r="AB373" s="41" t="s">
        <v>59</v>
      </c>
      <c r="AC373" s="16" t="s">
        <v>59</v>
      </c>
      <c r="AD373" s="42" t="s">
        <v>59</v>
      </c>
      <c r="AE373" s="42">
        <v>31.1</v>
      </c>
      <c r="AF373" s="42">
        <v>0.26</v>
      </c>
      <c r="AG373" s="43" t="s">
        <v>59</v>
      </c>
      <c r="AH373" s="43" t="s">
        <v>59</v>
      </c>
      <c r="AI373" s="43" t="s">
        <v>59</v>
      </c>
      <c r="AJ373" s="17" t="s">
        <v>59</v>
      </c>
      <c r="AK373" s="17" t="s">
        <v>59</v>
      </c>
      <c r="AL373" s="17" t="e">
        <v>#N/A</v>
      </c>
      <c r="AM373" s="17" t="s">
        <v>59</v>
      </c>
      <c r="AN373" s="17" t="s">
        <v>59</v>
      </c>
      <c r="AO373" s="44" t="s">
        <v>61</v>
      </c>
    </row>
    <row r="374" spans="1:41" ht="12" customHeight="1" x14ac:dyDescent="0.35">
      <c r="A374" s="29" t="s">
        <v>76</v>
      </c>
      <c r="B374" s="30" t="s">
        <v>228</v>
      </c>
      <c r="C374" s="29">
        <v>86</v>
      </c>
      <c r="D374" s="29" t="s">
        <v>229</v>
      </c>
      <c r="E374" s="31" t="s">
        <v>230</v>
      </c>
      <c r="F374" s="29">
        <v>6139</v>
      </c>
      <c r="G374" s="29" t="s">
        <v>59</v>
      </c>
      <c r="H374" s="32">
        <v>46101</v>
      </c>
      <c r="I374" s="33">
        <v>46102</v>
      </c>
      <c r="J374" s="34" t="s">
        <v>79</v>
      </c>
      <c r="K374" s="35">
        <v>0.67062500000000003</v>
      </c>
      <c r="L374" s="35">
        <v>0.70832175925925922</v>
      </c>
      <c r="M374" s="36">
        <v>4.5624999999999999E-2</v>
      </c>
      <c r="N374" s="35">
        <v>8.3321759259259262E-2</v>
      </c>
      <c r="O374" s="37">
        <f>IF(N374&gt;M374,N374-M374,(N374+1)-M374)</f>
        <v>3.7696759259259263E-2</v>
      </c>
      <c r="P374" s="29" t="s">
        <v>232</v>
      </c>
      <c r="Q374" s="29" t="s">
        <v>59</v>
      </c>
      <c r="R374" s="29" t="s">
        <v>232</v>
      </c>
      <c r="S374" s="38" t="s">
        <v>49</v>
      </c>
      <c r="T374" s="39" t="s">
        <v>73</v>
      </c>
      <c r="U374" s="39" t="s">
        <v>59</v>
      </c>
      <c r="V374" s="38" t="s">
        <v>100</v>
      </c>
      <c r="W374" s="40" t="s">
        <v>59</v>
      </c>
      <c r="X374" s="13" t="s">
        <v>59</v>
      </c>
      <c r="Y374" s="13" t="s">
        <v>59</v>
      </c>
      <c r="Z374" s="13" t="s">
        <v>59</v>
      </c>
      <c r="AA374" s="13" t="s">
        <v>59</v>
      </c>
      <c r="AB374" s="41" t="s">
        <v>59</v>
      </c>
      <c r="AC374" s="16" t="s">
        <v>59</v>
      </c>
      <c r="AD374" s="42" t="s">
        <v>59</v>
      </c>
      <c r="AE374" s="42">
        <v>2.6</v>
      </c>
      <c r="AF374" s="42">
        <v>7.0000000000000007E-2</v>
      </c>
      <c r="AG374" s="43" t="s">
        <v>59</v>
      </c>
      <c r="AH374" s="43" t="s">
        <v>59</v>
      </c>
      <c r="AI374" s="43" t="s">
        <v>59</v>
      </c>
      <c r="AJ374" s="17" t="s">
        <v>59</v>
      </c>
      <c r="AK374" s="17" t="s">
        <v>59</v>
      </c>
      <c r="AL374" s="17" t="e">
        <v>#N/A</v>
      </c>
      <c r="AM374" s="17" t="s">
        <v>59</v>
      </c>
      <c r="AN374" s="17" t="s">
        <v>59</v>
      </c>
      <c r="AO374" s="44" t="s">
        <v>61</v>
      </c>
    </row>
    <row r="375" spans="1:41" ht="12" customHeight="1" x14ac:dyDescent="0.35">
      <c r="A375" s="29" t="s">
        <v>76</v>
      </c>
      <c r="B375" s="30" t="s">
        <v>228</v>
      </c>
      <c r="C375" s="29">
        <v>86</v>
      </c>
      <c r="D375" s="29" t="s">
        <v>229</v>
      </c>
      <c r="E375" s="31" t="s">
        <v>230</v>
      </c>
      <c r="F375" s="29">
        <v>6139</v>
      </c>
      <c r="G375" s="29" t="s">
        <v>59</v>
      </c>
      <c r="H375" s="32">
        <v>46101</v>
      </c>
      <c r="I375" s="33">
        <v>46102</v>
      </c>
      <c r="J375" s="34" t="s">
        <v>79</v>
      </c>
      <c r="K375" s="35">
        <v>0.70833333333333337</v>
      </c>
      <c r="L375" s="35">
        <v>0.71275462962962965</v>
      </c>
      <c r="M375" s="36">
        <v>8.3333333333333329E-2</v>
      </c>
      <c r="N375" s="35">
        <v>8.7754629629629627E-2</v>
      </c>
      <c r="O375" s="37">
        <f>IF(N375&gt;M375,N375-M375,(N375+1)-M375)</f>
        <v>4.4212962962962982E-3</v>
      </c>
      <c r="P375" s="29" t="s">
        <v>232</v>
      </c>
      <c r="Q375" s="29" t="s">
        <v>59</v>
      </c>
      <c r="R375" s="29" t="s">
        <v>232</v>
      </c>
      <c r="S375" s="38" t="s">
        <v>46</v>
      </c>
      <c r="T375" s="39" t="s">
        <v>73</v>
      </c>
      <c r="U375" s="39" t="s">
        <v>59</v>
      </c>
      <c r="V375" s="38" t="s">
        <v>100</v>
      </c>
      <c r="W375" s="40" t="s">
        <v>59</v>
      </c>
      <c r="X375" s="13" t="s">
        <v>59</v>
      </c>
      <c r="Y375" s="13" t="s">
        <v>59</v>
      </c>
      <c r="Z375" s="13" t="s">
        <v>59</v>
      </c>
      <c r="AA375" s="13" t="s">
        <v>59</v>
      </c>
      <c r="AB375" s="41" t="s">
        <v>59</v>
      </c>
      <c r="AC375" s="16" t="s">
        <v>59</v>
      </c>
      <c r="AD375" s="42" t="s">
        <v>59</v>
      </c>
      <c r="AE375" s="42">
        <v>3.3</v>
      </c>
      <c r="AF375" s="42">
        <v>0.11</v>
      </c>
      <c r="AG375" s="43" t="s">
        <v>59</v>
      </c>
      <c r="AH375" s="43" t="s">
        <v>59</v>
      </c>
      <c r="AI375" s="43" t="s">
        <v>59</v>
      </c>
      <c r="AJ375" s="17" t="s">
        <v>59</v>
      </c>
      <c r="AK375" s="17" t="s">
        <v>59</v>
      </c>
      <c r="AL375" s="17" t="e">
        <v>#N/A</v>
      </c>
      <c r="AM375" s="17" t="s">
        <v>59</v>
      </c>
      <c r="AN375" s="17" t="s">
        <v>59</v>
      </c>
      <c r="AO375" s="44" t="s">
        <v>61</v>
      </c>
    </row>
    <row r="376" spans="1:41" ht="12" customHeight="1" x14ac:dyDescent="0.35">
      <c r="A376" s="29" t="s">
        <v>76</v>
      </c>
      <c r="B376" s="30" t="s">
        <v>228</v>
      </c>
      <c r="C376" s="29">
        <v>86</v>
      </c>
      <c r="D376" s="29" t="s">
        <v>229</v>
      </c>
      <c r="E376" s="31" t="s">
        <v>230</v>
      </c>
      <c r="F376" s="29">
        <v>6139</v>
      </c>
      <c r="G376" s="29" t="s">
        <v>59</v>
      </c>
      <c r="H376" s="32">
        <v>46101</v>
      </c>
      <c r="I376" s="33">
        <v>46102</v>
      </c>
      <c r="J376" s="34" t="s">
        <v>79</v>
      </c>
      <c r="K376" s="35">
        <v>0.71534722222222225</v>
      </c>
      <c r="L376" s="35">
        <v>0.85724537037037041</v>
      </c>
      <c r="M376" s="36">
        <v>9.0347222222222218E-2</v>
      </c>
      <c r="N376" s="35">
        <v>0.23224537037037038</v>
      </c>
      <c r="O376" s="37">
        <f>IF(N376&gt;M376,N376-M376,(N376+1)-M376)</f>
        <v>0.14189814814814816</v>
      </c>
      <c r="P376" s="29" t="s">
        <v>231</v>
      </c>
      <c r="Q376" s="29" t="s">
        <v>59</v>
      </c>
      <c r="R376" s="29" t="s">
        <v>231</v>
      </c>
      <c r="S376" s="38" t="s">
        <v>46</v>
      </c>
      <c r="T376" s="39" t="s">
        <v>73</v>
      </c>
      <c r="U376" s="39" t="s">
        <v>59</v>
      </c>
      <c r="V376" s="38" t="s">
        <v>100</v>
      </c>
      <c r="W376" s="40" t="s">
        <v>59</v>
      </c>
      <c r="X376" s="13" t="s">
        <v>59</v>
      </c>
      <c r="Y376" s="13" t="s">
        <v>59</v>
      </c>
      <c r="Z376" s="13" t="s">
        <v>59</v>
      </c>
      <c r="AA376" s="13" t="s">
        <v>59</v>
      </c>
      <c r="AB376" s="41" t="s">
        <v>59</v>
      </c>
      <c r="AC376" s="16" t="s">
        <v>59</v>
      </c>
      <c r="AD376" s="42" t="s">
        <v>59</v>
      </c>
      <c r="AE376" s="42">
        <v>0.5</v>
      </c>
      <c r="AF376" s="42">
        <v>0.03</v>
      </c>
      <c r="AG376" s="43" t="s">
        <v>59</v>
      </c>
      <c r="AH376" s="43" t="s">
        <v>59</v>
      </c>
      <c r="AI376" s="43" t="s">
        <v>59</v>
      </c>
      <c r="AJ376" s="17" t="s">
        <v>59</v>
      </c>
      <c r="AK376" s="17" t="s">
        <v>59</v>
      </c>
      <c r="AL376" s="17" t="e">
        <v>#N/A</v>
      </c>
      <c r="AM376" s="17" t="s">
        <v>59</v>
      </c>
      <c r="AN376" s="17" t="s">
        <v>59</v>
      </c>
      <c r="AO376" s="44" t="s">
        <v>61</v>
      </c>
    </row>
    <row r="377" spans="1:41" ht="12" customHeight="1" x14ac:dyDescent="0.35">
      <c r="A377" s="29" t="s">
        <v>76</v>
      </c>
      <c r="B377" s="30" t="s">
        <v>228</v>
      </c>
      <c r="C377" s="29">
        <v>86</v>
      </c>
      <c r="D377" s="29" t="s">
        <v>229</v>
      </c>
      <c r="E377" s="31" t="s">
        <v>230</v>
      </c>
      <c r="F377" s="29">
        <v>6139</v>
      </c>
      <c r="G377" s="29" t="s">
        <v>59</v>
      </c>
      <c r="H377" s="32">
        <v>46102</v>
      </c>
      <c r="I377" s="33">
        <v>46102</v>
      </c>
      <c r="J377" s="34" t="s">
        <v>71</v>
      </c>
      <c r="K377" s="35">
        <v>9.9826388888888895E-2</v>
      </c>
      <c r="L377" s="35">
        <v>0.14203703703703704</v>
      </c>
      <c r="M377" s="36">
        <v>0.4748263888888889</v>
      </c>
      <c r="N377" s="35">
        <v>0.51703703703703707</v>
      </c>
      <c r="O377" s="37">
        <f>IF(N377&gt;M377,N377-M377,(N377+1)-M377)</f>
        <v>4.2210648148148178E-2</v>
      </c>
      <c r="P377" s="29" t="s">
        <v>232</v>
      </c>
      <c r="Q377" s="29" t="s">
        <v>59</v>
      </c>
      <c r="R377" s="29" t="s">
        <v>232</v>
      </c>
      <c r="S377" s="38" t="s">
        <v>48</v>
      </c>
      <c r="T377" s="39" t="s">
        <v>73</v>
      </c>
      <c r="U377" s="39" t="s">
        <v>59</v>
      </c>
      <c r="V377" s="38" t="s">
        <v>100</v>
      </c>
      <c r="W377" s="40" t="s">
        <v>59</v>
      </c>
      <c r="X377" s="13" t="s">
        <v>59</v>
      </c>
      <c r="Y377" s="13" t="s">
        <v>59</v>
      </c>
      <c r="Z377" s="13" t="s">
        <v>59</v>
      </c>
      <c r="AA377" s="13" t="s">
        <v>59</v>
      </c>
      <c r="AB377" s="41" t="s">
        <v>59</v>
      </c>
      <c r="AC377" s="16" t="s">
        <v>59</v>
      </c>
      <c r="AD377" s="42" t="s">
        <v>59</v>
      </c>
      <c r="AE377" s="42">
        <v>34</v>
      </c>
      <c r="AF377" s="42">
        <v>0.52</v>
      </c>
      <c r="AG377" s="43" t="s">
        <v>59</v>
      </c>
      <c r="AH377" s="43" t="s">
        <v>59</v>
      </c>
      <c r="AI377" s="43" t="s">
        <v>59</v>
      </c>
      <c r="AJ377" s="17" t="s">
        <v>59</v>
      </c>
      <c r="AK377" s="17" t="s">
        <v>59</v>
      </c>
      <c r="AL377" s="17" t="e">
        <v>#N/A</v>
      </c>
      <c r="AM377" s="17" t="s">
        <v>59</v>
      </c>
      <c r="AN377" s="17" t="s">
        <v>59</v>
      </c>
      <c r="AO377" s="44" t="s">
        <v>61</v>
      </c>
    </row>
    <row r="378" spans="1:41" ht="12" customHeight="1" x14ac:dyDescent="0.35">
      <c r="A378" s="29" t="s">
        <v>76</v>
      </c>
      <c r="B378" s="30" t="s">
        <v>228</v>
      </c>
      <c r="C378" s="29">
        <v>86</v>
      </c>
      <c r="D378" s="29" t="s">
        <v>229</v>
      </c>
      <c r="E378" s="31" t="s">
        <v>230</v>
      </c>
      <c r="F378" s="29">
        <v>6139</v>
      </c>
      <c r="G378" s="29" t="s">
        <v>59</v>
      </c>
      <c r="H378" s="32">
        <v>46102</v>
      </c>
      <c r="I378" s="33">
        <v>46102</v>
      </c>
      <c r="J378" s="34" t="s">
        <v>71</v>
      </c>
      <c r="K378" s="35">
        <v>0.14929398148148149</v>
      </c>
      <c r="L378" s="35">
        <v>0.17017361111111112</v>
      </c>
      <c r="M378" s="36">
        <v>0.52429398148148143</v>
      </c>
      <c r="N378" s="35">
        <v>0.54517361111111107</v>
      </c>
      <c r="O378" s="37">
        <f>IF(N378&gt;M378,N378-M378,(N378+1)-M378)</f>
        <v>2.0879629629629637E-2</v>
      </c>
      <c r="P378" s="29" t="s">
        <v>232</v>
      </c>
      <c r="Q378" s="29" t="s">
        <v>59</v>
      </c>
      <c r="R378" s="29" t="s">
        <v>232</v>
      </c>
      <c r="S378" s="38" t="s">
        <v>49</v>
      </c>
      <c r="T378" s="39" t="s">
        <v>73</v>
      </c>
      <c r="U378" s="39" t="s">
        <v>59</v>
      </c>
      <c r="V378" s="38" t="s">
        <v>100</v>
      </c>
      <c r="W378" s="40" t="s">
        <v>59</v>
      </c>
      <c r="X378" s="13" t="s">
        <v>59</v>
      </c>
      <c r="Y378" s="13" t="s">
        <v>59</v>
      </c>
      <c r="Z378" s="13" t="s">
        <v>59</v>
      </c>
      <c r="AA378" s="13" t="s">
        <v>59</v>
      </c>
      <c r="AB378" s="41" t="s">
        <v>59</v>
      </c>
      <c r="AC378" s="16" t="s">
        <v>59</v>
      </c>
      <c r="AD378" s="42" t="s">
        <v>59</v>
      </c>
      <c r="AE378" s="42">
        <v>7.6</v>
      </c>
      <c r="AF378" s="42">
        <v>0.11</v>
      </c>
      <c r="AG378" s="43" t="s">
        <v>59</v>
      </c>
      <c r="AH378" s="43" t="s">
        <v>59</v>
      </c>
      <c r="AI378" s="43" t="s">
        <v>59</v>
      </c>
      <c r="AJ378" s="17" t="s">
        <v>59</v>
      </c>
      <c r="AK378" s="17" t="s">
        <v>59</v>
      </c>
      <c r="AL378" s="17" t="e">
        <v>#N/A</v>
      </c>
      <c r="AM378" s="17" t="s">
        <v>59</v>
      </c>
      <c r="AN378" s="17" t="s">
        <v>59</v>
      </c>
      <c r="AO378" s="44" t="s">
        <v>61</v>
      </c>
    </row>
    <row r="379" spans="1:41" ht="12" customHeight="1" x14ac:dyDescent="0.35">
      <c r="A379" s="29" t="s">
        <v>76</v>
      </c>
      <c r="B379" s="30" t="s">
        <v>228</v>
      </c>
      <c r="C379" s="29">
        <v>86</v>
      </c>
      <c r="D379" s="29" t="s">
        <v>229</v>
      </c>
      <c r="E379" s="31" t="s">
        <v>230</v>
      </c>
      <c r="F379" s="29">
        <v>6139</v>
      </c>
      <c r="G379" s="29" t="s">
        <v>59</v>
      </c>
      <c r="H379" s="32">
        <v>46102</v>
      </c>
      <c r="I379" s="33">
        <v>46102</v>
      </c>
      <c r="J379" s="34" t="s">
        <v>71</v>
      </c>
      <c r="K379" s="35">
        <v>0.36780092592592595</v>
      </c>
      <c r="L379" s="35">
        <v>0.38126157407407407</v>
      </c>
      <c r="M379" s="36">
        <v>0.74280092592592595</v>
      </c>
      <c r="N379" s="35">
        <v>0.75626157407407413</v>
      </c>
      <c r="O379" s="37">
        <f>IF(N379&gt;M379,N379-M379,(N379+1)-M379)</f>
        <v>1.346064814814818E-2</v>
      </c>
      <c r="P379" s="29" t="s">
        <v>232</v>
      </c>
      <c r="Q379" s="29" t="s">
        <v>59</v>
      </c>
      <c r="R379" s="29" t="s">
        <v>232</v>
      </c>
      <c r="S379" s="38" t="s">
        <v>49</v>
      </c>
      <c r="T379" s="39" t="s">
        <v>73</v>
      </c>
      <c r="U379" s="39" t="s">
        <v>59</v>
      </c>
      <c r="V379" s="38" t="s">
        <v>100</v>
      </c>
      <c r="W379" s="40" t="s">
        <v>59</v>
      </c>
      <c r="X379" s="13" t="s">
        <v>59</v>
      </c>
      <c r="Y379" s="13" t="s">
        <v>59</v>
      </c>
      <c r="Z379" s="13" t="s">
        <v>59</v>
      </c>
      <c r="AA379" s="13" t="s">
        <v>59</v>
      </c>
      <c r="AB379" s="41" t="s">
        <v>59</v>
      </c>
      <c r="AC379" s="16" t="s">
        <v>59</v>
      </c>
      <c r="AD379" s="42" t="s">
        <v>59</v>
      </c>
      <c r="AE379" s="42">
        <v>8.1999999999999993</v>
      </c>
      <c r="AF379" s="42">
        <v>0.09</v>
      </c>
      <c r="AG379" s="43" t="s">
        <v>59</v>
      </c>
      <c r="AH379" s="43" t="s">
        <v>59</v>
      </c>
      <c r="AI379" s="43" t="s">
        <v>59</v>
      </c>
      <c r="AJ379" s="17" t="s">
        <v>59</v>
      </c>
      <c r="AK379" s="17" t="s">
        <v>59</v>
      </c>
      <c r="AL379" s="17" t="e">
        <v>#N/A</v>
      </c>
      <c r="AM379" s="17" t="s">
        <v>59</v>
      </c>
      <c r="AN379" s="17" t="s">
        <v>59</v>
      </c>
      <c r="AO379" s="44" t="s">
        <v>61</v>
      </c>
    </row>
    <row r="380" spans="1:41" ht="12" customHeight="1" x14ac:dyDescent="0.35">
      <c r="A380" s="29" t="s">
        <v>76</v>
      </c>
      <c r="B380" s="30" t="s">
        <v>228</v>
      </c>
      <c r="C380" s="29">
        <v>86</v>
      </c>
      <c r="D380" s="29" t="s">
        <v>229</v>
      </c>
      <c r="E380" s="31" t="s">
        <v>230</v>
      </c>
      <c r="F380" s="29">
        <v>6139</v>
      </c>
      <c r="G380" s="29" t="s">
        <v>59</v>
      </c>
      <c r="H380" s="32">
        <v>46102</v>
      </c>
      <c r="I380" s="33">
        <v>46102</v>
      </c>
      <c r="J380" s="34" t="s">
        <v>71</v>
      </c>
      <c r="K380" s="35">
        <v>0.3818287037037037</v>
      </c>
      <c r="L380" s="35">
        <v>0.53840277777777779</v>
      </c>
      <c r="M380" s="36">
        <v>0.7568287037037037</v>
      </c>
      <c r="N380" s="35">
        <v>0.91340277777777779</v>
      </c>
      <c r="O380" s="37">
        <f>IF(N380&gt;M380,N380-M380,(N380+1)-M380)</f>
        <v>0.15657407407407409</v>
      </c>
      <c r="P380" s="29" t="s">
        <v>231</v>
      </c>
      <c r="Q380" s="29" t="s">
        <v>59</v>
      </c>
      <c r="R380" s="29" t="s">
        <v>231</v>
      </c>
      <c r="S380" s="38" t="s">
        <v>46</v>
      </c>
      <c r="T380" s="39" t="s">
        <v>73</v>
      </c>
      <c r="U380" s="39" t="s">
        <v>59</v>
      </c>
      <c r="V380" s="38" t="s">
        <v>104</v>
      </c>
      <c r="W380" s="40" t="s">
        <v>59</v>
      </c>
      <c r="X380" s="13" t="s">
        <v>59</v>
      </c>
      <c r="Y380" s="13" t="s">
        <v>59</v>
      </c>
      <c r="Z380" s="13" t="s">
        <v>59</v>
      </c>
      <c r="AA380" s="13" t="s">
        <v>59</v>
      </c>
      <c r="AB380" s="41" t="s">
        <v>59</v>
      </c>
      <c r="AC380" s="16" t="s">
        <v>59</v>
      </c>
      <c r="AD380" s="42" t="s">
        <v>59</v>
      </c>
      <c r="AE380" s="42">
        <v>70.2</v>
      </c>
      <c r="AF380" s="42">
        <v>0.51</v>
      </c>
      <c r="AG380" s="43" t="s">
        <v>59</v>
      </c>
      <c r="AH380" s="43" t="s">
        <v>59</v>
      </c>
      <c r="AI380" s="43" t="s">
        <v>59</v>
      </c>
      <c r="AJ380" s="17" t="s">
        <v>59</v>
      </c>
      <c r="AK380" s="17" t="s">
        <v>59</v>
      </c>
      <c r="AL380" s="17" t="e">
        <v>#N/A</v>
      </c>
      <c r="AM380" s="17" t="s">
        <v>59</v>
      </c>
      <c r="AN380" s="17" t="s">
        <v>59</v>
      </c>
      <c r="AO380" s="44" t="s">
        <v>61</v>
      </c>
    </row>
    <row r="381" spans="1:41" ht="12" customHeight="1" x14ac:dyDescent="0.35">
      <c r="A381" s="29" t="s">
        <v>76</v>
      </c>
      <c r="B381" s="30" t="s">
        <v>228</v>
      </c>
      <c r="C381" s="29">
        <v>86</v>
      </c>
      <c r="D381" s="29" t="s">
        <v>229</v>
      </c>
      <c r="E381" s="31" t="s">
        <v>230</v>
      </c>
      <c r="F381" s="29">
        <v>6139</v>
      </c>
      <c r="G381" s="29" t="s">
        <v>59</v>
      </c>
      <c r="H381" s="32">
        <v>46102</v>
      </c>
      <c r="I381" s="33">
        <v>46102</v>
      </c>
      <c r="J381" s="34" t="s">
        <v>71</v>
      </c>
      <c r="K381" s="35">
        <v>0.54954861111111108</v>
      </c>
      <c r="L381" s="35">
        <v>0.61930555555555555</v>
      </c>
      <c r="M381" s="36">
        <v>0.92454861111111108</v>
      </c>
      <c r="N381" s="35">
        <v>0.99430555555555555</v>
      </c>
      <c r="O381" s="37">
        <f>IF(N381&gt;M381,N381-M381,(N381+1)-M381)</f>
        <v>6.9756944444444469E-2</v>
      </c>
      <c r="P381" s="29" t="s">
        <v>233</v>
      </c>
      <c r="Q381" s="29" t="s">
        <v>59</v>
      </c>
      <c r="R381" s="29" t="s">
        <v>233</v>
      </c>
      <c r="S381" s="38" t="s">
        <v>48</v>
      </c>
      <c r="T381" s="39" t="s">
        <v>73</v>
      </c>
      <c r="U381" s="39" t="s">
        <v>59</v>
      </c>
      <c r="V381" s="38" t="s">
        <v>104</v>
      </c>
      <c r="W381" s="40" t="s">
        <v>59</v>
      </c>
      <c r="X381" s="13" t="s">
        <v>59</v>
      </c>
      <c r="Y381" s="13" t="s">
        <v>59</v>
      </c>
      <c r="Z381" s="13" t="s">
        <v>59</v>
      </c>
      <c r="AA381" s="13" t="s">
        <v>59</v>
      </c>
      <c r="AB381" s="41" t="s">
        <v>59</v>
      </c>
      <c r="AC381" s="16" t="s">
        <v>59</v>
      </c>
      <c r="AD381" s="42" t="s">
        <v>59</v>
      </c>
      <c r="AE381" s="42">
        <v>34.299999999999997</v>
      </c>
      <c r="AF381" s="42">
        <v>0.28999999999999998</v>
      </c>
      <c r="AG381" s="43" t="s">
        <v>59</v>
      </c>
      <c r="AH381" s="43" t="s">
        <v>59</v>
      </c>
      <c r="AI381" s="43" t="s">
        <v>59</v>
      </c>
      <c r="AJ381" s="17" t="s">
        <v>59</v>
      </c>
      <c r="AK381" s="17" t="s">
        <v>59</v>
      </c>
      <c r="AL381" s="17" t="e">
        <v>#N/A</v>
      </c>
      <c r="AM381" s="17" t="s">
        <v>59</v>
      </c>
      <c r="AN381" s="17" t="s">
        <v>59</v>
      </c>
      <c r="AO381" s="44" t="s">
        <v>61</v>
      </c>
    </row>
    <row r="382" spans="1:41" ht="12" customHeight="1" x14ac:dyDescent="0.35">
      <c r="A382" s="29" t="s">
        <v>76</v>
      </c>
      <c r="B382" s="30" t="s">
        <v>228</v>
      </c>
      <c r="C382" s="29">
        <v>86</v>
      </c>
      <c r="D382" s="29" t="s">
        <v>229</v>
      </c>
      <c r="E382" s="31" t="s">
        <v>230</v>
      </c>
      <c r="F382" s="29">
        <v>6139</v>
      </c>
      <c r="G382" s="29" t="s">
        <v>59</v>
      </c>
      <c r="H382" s="32">
        <v>46102</v>
      </c>
      <c r="I382" s="33">
        <v>46103</v>
      </c>
      <c r="J382" s="34" t="s">
        <v>71</v>
      </c>
      <c r="K382" s="35">
        <v>0.72209490740740745</v>
      </c>
      <c r="L382" s="35">
        <v>0.85579861111111111</v>
      </c>
      <c r="M382" s="36">
        <v>9.7094907407407408E-2</v>
      </c>
      <c r="N382" s="35">
        <v>0.23079861111111111</v>
      </c>
      <c r="O382" s="37">
        <f>IF(N382&gt;M382,N382-M382,(N382+1)-M382)</f>
        <v>0.13370370370370371</v>
      </c>
      <c r="P382" s="29" t="s">
        <v>231</v>
      </c>
      <c r="Q382" s="29" t="s">
        <v>59</v>
      </c>
      <c r="R382" s="29" t="s">
        <v>231</v>
      </c>
      <c r="S382" s="38" t="s">
        <v>46</v>
      </c>
      <c r="T382" s="39" t="s">
        <v>73</v>
      </c>
      <c r="U382" s="39" t="s">
        <v>59</v>
      </c>
      <c r="V382" s="38" t="s">
        <v>104</v>
      </c>
      <c r="W382" s="40" t="s">
        <v>59</v>
      </c>
      <c r="X382" s="13" t="s">
        <v>59</v>
      </c>
      <c r="Y382" s="13" t="s">
        <v>59</v>
      </c>
      <c r="Z382" s="13" t="s">
        <v>59</v>
      </c>
      <c r="AA382" s="13" t="s">
        <v>59</v>
      </c>
      <c r="AB382" s="41" t="s">
        <v>59</v>
      </c>
      <c r="AC382" s="16" t="s">
        <v>59</v>
      </c>
      <c r="AD382" s="42" t="s">
        <v>59</v>
      </c>
      <c r="AE382" s="42">
        <v>0.7</v>
      </c>
      <c r="AF382" s="42">
        <v>0.04</v>
      </c>
      <c r="AG382" s="43" t="s">
        <v>59</v>
      </c>
      <c r="AH382" s="43" t="s">
        <v>59</v>
      </c>
      <c r="AI382" s="43" t="s">
        <v>59</v>
      </c>
      <c r="AJ382" s="17" t="s">
        <v>59</v>
      </c>
      <c r="AK382" s="17" t="s">
        <v>59</v>
      </c>
      <c r="AL382" s="17" t="e">
        <v>#N/A</v>
      </c>
      <c r="AM382" s="17" t="s">
        <v>59</v>
      </c>
      <c r="AN382" s="17" t="s">
        <v>59</v>
      </c>
      <c r="AO382" s="44" t="s">
        <v>61</v>
      </c>
    </row>
    <row r="383" spans="1:41" ht="12" customHeight="1" x14ac:dyDescent="0.35">
      <c r="A383" s="29" t="s">
        <v>76</v>
      </c>
      <c r="B383" s="30" t="s">
        <v>228</v>
      </c>
      <c r="C383" s="29">
        <v>86</v>
      </c>
      <c r="D383" s="29" t="s">
        <v>229</v>
      </c>
      <c r="E383" s="31" t="s">
        <v>230</v>
      </c>
      <c r="F383" s="29">
        <v>6139</v>
      </c>
      <c r="G383" s="29" t="s">
        <v>59</v>
      </c>
      <c r="H383" s="32">
        <v>46102</v>
      </c>
      <c r="I383" s="33">
        <v>46103</v>
      </c>
      <c r="J383" s="34" t="s">
        <v>71</v>
      </c>
      <c r="K383" s="35">
        <v>0.86459490740740741</v>
      </c>
      <c r="L383" s="35">
        <v>0.90611111111111109</v>
      </c>
      <c r="M383" s="36">
        <v>0.23959490740740741</v>
      </c>
      <c r="N383" s="35">
        <v>0.28111111111111109</v>
      </c>
      <c r="O383" s="37">
        <f>IF(N383&gt;M383,N383-M383,(N383+1)-M383)</f>
        <v>4.151620370370368E-2</v>
      </c>
      <c r="P383" s="29" t="s">
        <v>232</v>
      </c>
      <c r="Q383" s="29" t="s">
        <v>59</v>
      </c>
      <c r="R383" s="29" t="s">
        <v>232</v>
      </c>
      <c r="S383" s="38" t="s">
        <v>49</v>
      </c>
      <c r="T383" s="39" t="s">
        <v>73</v>
      </c>
      <c r="U383" s="39" t="s">
        <v>59</v>
      </c>
      <c r="V383" s="38" t="s">
        <v>104</v>
      </c>
      <c r="W383" s="40" t="s">
        <v>59</v>
      </c>
      <c r="X383" s="13" t="s">
        <v>59</v>
      </c>
      <c r="Y383" s="13" t="s">
        <v>59</v>
      </c>
      <c r="Z383" s="13" t="s">
        <v>59</v>
      </c>
      <c r="AA383" s="13" t="s">
        <v>59</v>
      </c>
      <c r="AB383" s="41" t="s">
        <v>59</v>
      </c>
      <c r="AC383" s="16" t="s">
        <v>59</v>
      </c>
      <c r="AD383" s="42" t="s">
        <v>59</v>
      </c>
      <c r="AE383" s="42">
        <v>7</v>
      </c>
      <c r="AF383" s="42">
        <v>0.31</v>
      </c>
      <c r="AG383" s="43" t="s">
        <v>59</v>
      </c>
      <c r="AH383" s="43" t="s">
        <v>59</v>
      </c>
      <c r="AI383" s="43" t="s">
        <v>59</v>
      </c>
      <c r="AJ383" s="17" t="s">
        <v>59</v>
      </c>
      <c r="AK383" s="17" t="s">
        <v>59</v>
      </c>
      <c r="AL383" s="17" t="e">
        <v>#N/A</v>
      </c>
      <c r="AM383" s="17" t="s">
        <v>59</v>
      </c>
      <c r="AN383" s="17" t="s">
        <v>59</v>
      </c>
      <c r="AO383" s="44" t="s">
        <v>61</v>
      </c>
    </row>
    <row r="384" spans="1:41" ht="12" customHeight="1" x14ac:dyDescent="0.35">
      <c r="A384" s="29" t="s">
        <v>76</v>
      </c>
      <c r="B384" s="30" t="s">
        <v>228</v>
      </c>
      <c r="C384" s="29">
        <v>86</v>
      </c>
      <c r="D384" s="29" t="s">
        <v>229</v>
      </c>
      <c r="E384" s="31" t="s">
        <v>230</v>
      </c>
      <c r="F384" s="29">
        <v>6139</v>
      </c>
      <c r="G384" s="29" t="s">
        <v>59</v>
      </c>
      <c r="H384" s="32">
        <v>46102</v>
      </c>
      <c r="I384" s="33">
        <v>46103</v>
      </c>
      <c r="J384" s="34" t="s">
        <v>71</v>
      </c>
      <c r="K384" s="35">
        <v>0.91490740740740739</v>
      </c>
      <c r="L384" s="35">
        <v>0.93600694444444443</v>
      </c>
      <c r="M384" s="36">
        <v>0.28990740740740739</v>
      </c>
      <c r="N384" s="35">
        <v>0.31100694444444443</v>
      </c>
      <c r="O384" s="37">
        <f>IF(N384&gt;M384,N384-M384,(N384+1)-M384)</f>
        <v>2.1099537037037042E-2</v>
      </c>
      <c r="P384" s="29" t="s">
        <v>232</v>
      </c>
      <c r="Q384" s="29" t="s">
        <v>59</v>
      </c>
      <c r="R384" s="29" t="s">
        <v>232</v>
      </c>
      <c r="S384" s="38" t="s">
        <v>49</v>
      </c>
      <c r="T384" s="39" t="s">
        <v>73</v>
      </c>
      <c r="U384" s="39" t="s">
        <v>59</v>
      </c>
      <c r="V384" s="38" t="s">
        <v>104</v>
      </c>
      <c r="W384" s="40" t="s">
        <v>59</v>
      </c>
      <c r="X384" s="13" t="s">
        <v>59</v>
      </c>
      <c r="Y384" s="13" t="s">
        <v>59</v>
      </c>
      <c r="Z384" s="13" t="s">
        <v>59</v>
      </c>
      <c r="AA384" s="13" t="s">
        <v>59</v>
      </c>
      <c r="AB384" s="41" t="s">
        <v>59</v>
      </c>
      <c r="AC384" s="16" t="s">
        <v>59</v>
      </c>
      <c r="AD384" s="42" t="s">
        <v>59</v>
      </c>
      <c r="AE384" s="42">
        <v>5</v>
      </c>
      <c r="AF384" s="42">
        <v>0.13</v>
      </c>
      <c r="AG384" s="43" t="s">
        <v>59</v>
      </c>
      <c r="AH384" s="43" t="s">
        <v>59</v>
      </c>
      <c r="AI384" s="43" t="s">
        <v>59</v>
      </c>
      <c r="AJ384" s="17" t="s">
        <v>59</v>
      </c>
      <c r="AK384" s="17" t="s">
        <v>59</v>
      </c>
      <c r="AL384" s="17" t="e">
        <v>#N/A</v>
      </c>
      <c r="AM384" s="17" t="s">
        <v>59</v>
      </c>
      <c r="AN384" s="17" t="s">
        <v>59</v>
      </c>
      <c r="AO384" s="44" t="s">
        <v>61</v>
      </c>
    </row>
    <row r="385" spans="1:41" ht="12" customHeight="1" x14ac:dyDescent="0.35">
      <c r="A385" s="29" t="s">
        <v>76</v>
      </c>
      <c r="B385" s="30" t="s">
        <v>228</v>
      </c>
      <c r="C385" s="29">
        <v>86</v>
      </c>
      <c r="D385" s="29" t="s">
        <v>229</v>
      </c>
      <c r="E385" s="31" t="s">
        <v>230</v>
      </c>
      <c r="F385" s="29">
        <v>6139</v>
      </c>
      <c r="G385" s="29" t="s">
        <v>59</v>
      </c>
      <c r="H385" s="32">
        <v>46102</v>
      </c>
      <c r="I385" s="33">
        <v>46103</v>
      </c>
      <c r="J385" s="34" t="s">
        <v>71</v>
      </c>
      <c r="K385" s="35">
        <v>0.95001157407407411</v>
      </c>
      <c r="L385" s="35">
        <v>1.96875E-2</v>
      </c>
      <c r="M385" s="36">
        <v>0.32501157407407405</v>
      </c>
      <c r="N385" s="35">
        <v>0.39468750000000002</v>
      </c>
      <c r="O385" s="37">
        <f>IF(N385&gt;M385,N385-M385,(N385+1)-M385)</f>
        <v>6.9675925925925974E-2</v>
      </c>
      <c r="P385" s="29" t="s">
        <v>233</v>
      </c>
      <c r="Q385" s="29" t="s">
        <v>59</v>
      </c>
      <c r="R385" s="29" t="s">
        <v>233</v>
      </c>
      <c r="S385" s="38" t="s">
        <v>48</v>
      </c>
      <c r="T385" s="39" t="s">
        <v>73</v>
      </c>
      <c r="U385" s="39" t="s">
        <v>59</v>
      </c>
      <c r="V385" s="38" t="s">
        <v>104</v>
      </c>
      <c r="W385" s="40" t="s">
        <v>59</v>
      </c>
      <c r="X385" s="13" t="s">
        <v>59</v>
      </c>
      <c r="Y385" s="13" t="s">
        <v>59</v>
      </c>
      <c r="Z385" s="13" t="s">
        <v>59</v>
      </c>
      <c r="AA385" s="13" t="s">
        <v>59</v>
      </c>
      <c r="AB385" s="41" t="s">
        <v>59</v>
      </c>
      <c r="AC385" s="16" t="s">
        <v>59</v>
      </c>
      <c r="AD385" s="42" t="s">
        <v>59</v>
      </c>
      <c r="AE385" s="42">
        <v>7</v>
      </c>
      <c r="AF385" s="42">
        <v>0.11</v>
      </c>
      <c r="AG385" s="43" t="s">
        <v>59</v>
      </c>
      <c r="AH385" s="43" t="s">
        <v>59</v>
      </c>
      <c r="AI385" s="43" t="s">
        <v>59</v>
      </c>
      <c r="AJ385" s="17" t="s">
        <v>59</v>
      </c>
      <c r="AK385" s="17" t="s">
        <v>59</v>
      </c>
      <c r="AL385" s="17" t="e">
        <v>#N/A</v>
      </c>
      <c r="AM385" s="17" t="s">
        <v>59</v>
      </c>
      <c r="AN385" s="17" t="s">
        <v>59</v>
      </c>
      <c r="AO385" s="44" t="s">
        <v>61</v>
      </c>
    </row>
    <row r="386" spans="1:41" ht="12" customHeight="1" x14ac:dyDescent="0.35">
      <c r="A386" s="29" t="s">
        <v>76</v>
      </c>
      <c r="B386" s="30" t="s">
        <v>228</v>
      </c>
      <c r="C386" s="29">
        <v>86</v>
      </c>
      <c r="D386" s="29" t="s">
        <v>229</v>
      </c>
      <c r="E386" s="31" t="s">
        <v>230</v>
      </c>
      <c r="F386" s="29">
        <v>6139</v>
      </c>
      <c r="G386" s="29" t="s">
        <v>59</v>
      </c>
      <c r="H386" s="32">
        <v>46103</v>
      </c>
      <c r="I386" s="33">
        <v>46103</v>
      </c>
      <c r="J386" s="34" t="s">
        <v>74</v>
      </c>
      <c r="K386" s="35">
        <v>0.29484953703703703</v>
      </c>
      <c r="L386" s="35">
        <v>0.30114583333333333</v>
      </c>
      <c r="M386" s="36">
        <v>0.66984953703703709</v>
      </c>
      <c r="N386" s="35">
        <v>0.67614583333333333</v>
      </c>
      <c r="O386" s="37">
        <f>IF(N386&gt;M386,N386-M386,(N386+1)-M386)</f>
        <v>6.2962962962962443E-3</v>
      </c>
      <c r="P386" s="29" t="s">
        <v>232</v>
      </c>
      <c r="Q386" s="29" t="s">
        <v>59</v>
      </c>
      <c r="R386" s="29" t="s">
        <v>232</v>
      </c>
      <c r="S386" s="38" t="s">
        <v>49</v>
      </c>
      <c r="T386" s="39" t="s">
        <v>73</v>
      </c>
      <c r="U386" s="39" t="s">
        <v>59</v>
      </c>
      <c r="V386" s="38" t="s">
        <v>104</v>
      </c>
      <c r="W386" s="40" t="s">
        <v>59</v>
      </c>
      <c r="X386" s="13" t="s">
        <v>59</v>
      </c>
      <c r="Y386" s="13" t="s">
        <v>59</v>
      </c>
      <c r="Z386" s="13" t="s">
        <v>59</v>
      </c>
      <c r="AA386" s="13" t="s">
        <v>59</v>
      </c>
      <c r="AB386" s="41" t="s">
        <v>59</v>
      </c>
      <c r="AC386" s="16" t="s">
        <v>59</v>
      </c>
      <c r="AD386" s="42" t="s">
        <v>59</v>
      </c>
      <c r="AE386" s="42">
        <v>7.8</v>
      </c>
      <c r="AF386" s="42">
        <v>0.09</v>
      </c>
      <c r="AG386" s="43" t="s">
        <v>59</v>
      </c>
      <c r="AH386" s="43" t="s">
        <v>59</v>
      </c>
      <c r="AI386" s="43" t="s">
        <v>59</v>
      </c>
      <c r="AJ386" s="17" t="s">
        <v>59</v>
      </c>
      <c r="AK386" s="17" t="s">
        <v>59</v>
      </c>
      <c r="AL386" s="17" t="e">
        <v>#N/A</v>
      </c>
      <c r="AM386" s="17" t="s">
        <v>59</v>
      </c>
      <c r="AN386" s="17" t="s">
        <v>59</v>
      </c>
      <c r="AO386" s="44" t="s">
        <v>61</v>
      </c>
    </row>
    <row r="387" spans="1:41" ht="12" customHeight="1" x14ac:dyDescent="0.35">
      <c r="A387" s="29" t="s">
        <v>76</v>
      </c>
      <c r="B387" s="30" t="s">
        <v>228</v>
      </c>
      <c r="C387" s="29">
        <v>86</v>
      </c>
      <c r="D387" s="29" t="s">
        <v>229</v>
      </c>
      <c r="E387" s="31" t="s">
        <v>230</v>
      </c>
      <c r="F387" s="29">
        <v>6139</v>
      </c>
      <c r="G387" s="29" t="s">
        <v>59</v>
      </c>
      <c r="H387" s="32">
        <v>46103</v>
      </c>
      <c r="I387" s="33">
        <v>46103</v>
      </c>
      <c r="J387" s="34" t="s">
        <v>74</v>
      </c>
      <c r="K387" s="35">
        <v>0.4051851851851852</v>
      </c>
      <c r="L387" s="35">
        <v>0.54689814814814819</v>
      </c>
      <c r="M387" s="36">
        <v>0.7801851851851852</v>
      </c>
      <c r="N387" s="35">
        <v>0.92189814814814819</v>
      </c>
      <c r="O387" s="37">
        <f>IF(N387&gt;M387,N387-M387,(N387+1)-M387)</f>
        <v>0.14171296296296299</v>
      </c>
      <c r="P387" s="29" t="s">
        <v>231</v>
      </c>
      <c r="Q387" s="29" t="s">
        <v>59</v>
      </c>
      <c r="R387" s="29" t="s">
        <v>231</v>
      </c>
      <c r="S387" s="38" t="s">
        <v>46</v>
      </c>
      <c r="T387" s="39" t="s">
        <v>73</v>
      </c>
      <c r="U387" s="39" t="s">
        <v>59</v>
      </c>
      <c r="V387" s="38" t="s">
        <v>107</v>
      </c>
      <c r="W387" s="40" t="s">
        <v>59</v>
      </c>
      <c r="X387" s="13" t="s">
        <v>59</v>
      </c>
      <c r="Y387" s="13" t="s">
        <v>59</v>
      </c>
      <c r="Z387" s="13" t="s">
        <v>59</v>
      </c>
      <c r="AA387" s="13" t="s">
        <v>59</v>
      </c>
      <c r="AB387" s="41" t="s">
        <v>59</v>
      </c>
      <c r="AC387" s="16" t="s">
        <v>59</v>
      </c>
      <c r="AD387" s="42" t="s">
        <v>59</v>
      </c>
      <c r="AE387" s="42">
        <v>39.799999999999997</v>
      </c>
      <c r="AF387" s="42">
        <v>0.26</v>
      </c>
      <c r="AG387" s="43" t="s">
        <v>59</v>
      </c>
      <c r="AH387" s="43" t="s">
        <v>59</v>
      </c>
      <c r="AI387" s="43" t="s">
        <v>59</v>
      </c>
      <c r="AJ387" s="17" t="s">
        <v>59</v>
      </c>
      <c r="AK387" s="17" t="s">
        <v>59</v>
      </c>
      <c r="AL387" s="17" t="e">
        <v>#N/A</v>
      </c>
      <c r="AM387" s="17" t="s">
        <v>59</v>
      </c>
      <c r="AN387" s="17" t="s">
        <v>59</v>
      </c>
      <c r="AO387" s="44" t="s">
        <v>61</v>
      </c>
    </row>
    <row r="388" spans="1:41" ht="12" customHeight="1" x14ac:dyDescent="0.35">
      <c r="A388" s="29" t="s">
        <v>76</v>
      </c>
      <c r="B388" s="30" t="s">
        <v>228</v>
      </c>
      <c r="C388" s="29">
        <v>86</v>
      </c>
      <c r="D388" s="29" t="s">
        <v>229</v>
      </c>
      <c r="E388" s="31" t="s">
        <v>230</v>
      </c>
      <c r="F388" s="29">
        <v>6139</v>
      </c>
      <c r="G388" s="29" t="s">
        <v>59</v>
      </c>
      <c r="H388" s="32">
        <v>46103</v>
      </c>
      <c r="I388" s="33">
        <v>46104</v>
      </c>
      <c r="J388" s="34" t="s">
        <v>74</v>
      </c>
      <c r="K388" s="35">
        <v>0.69086805555555553</v>
      </c>
      <c r="L388" s="35">
        <v>0.70832175925925922</v>
      </c>
      <c r="M388" s="36">
        <v>6.5868055555555555E-2</v>
      </c>
      <c r="N388" s="35">
        <v>8.3321759259259262E-2</v>
      </c>
      <c r="O388" s="37">
        <f>IF(N388&gt;M388,N388-M388,(N388+1)-M388)</f>
        <v>1.7453703703703707E-2</v>
      </c>
      <c r="P388" s="29" t="s">
        <v>231</v>
      </c>
      <c r="Q388" s="29" t="s">
        <v>59</v>
      </c>
      <c r="R388" s="29" t="s">
        <v>231</v>
      </c>
      <c r="S388" s="38" t="s">
        <v>46</v>
      </c>
      <c r="T388" s="39" t="s">
        <v>73</v>
      </c>
      <c r="U388" s="39" t="s">
        <v>59</v>
      </c>
      <c r="V388" s="38" t="s">
        <v>107</v>
      </c>
      <c r="W388" s="40" t="s">
        <v>59</v>
      </c>
      <c r="X388" s="13" t="s">
        <v>59</v>
      </c>
      <c r="Y388" s="13" t="s">
        <v>59</v>
      </c>
      <c r="Z388" s="13" t="s">
        <v>59</v>
      </c>
      <c r="AA388" s="13" t="s">
        <v>59</v>
      </c>
      <c r="AB388" s="41" t="s">
        <v>59</v>
      </c>
      <c r="AC388" s="16" t="s">
        <v>59</v>
      </c>
      <c r="AD388" s="42" t="s">
        <v>59</v>
      </c>
      <c r="AE388" s="42">
        <v>10.3</v>
      </c>
      <c r="AF388" s="42">
        <v>0.4</v>
      </c>
      <c r="AG388" s="43" t="s">
        <v>59</v>
      </c>
      <c r="AH388" s="43" t="s">
        <v>59</v>
      </c>
      <c r="AI388" s="43" t="s">
        <v>59</v>
      </c>
      <c r="AJ388" s="17" t="s">
        <v>59</v>
      </c>
      <c r="AK388" s="17" t="s">
        <v>59</v>
      </c>
      <c r="AL388" s="17" t="e">
        <v>#N/A</v>
      </c>
      <c r="AM388" s="17" t="s">
        <v>59</v>
      </c>
      <c r="AN388" s="17" t="s">
        <v>59</v>
      </c>
      <c r="AO388" s="44" t="s">
        <v>61</v>
      </c>
    </row>
    <row r="389" spans="1:41" ht="12" customHeight="1" x14ac:dyDescent="0.35">
      <c r="A389" s="29" t="s">
        <v>76</v>
      </c>
      <c r="B389" s="30" t="s">
        <v>228</v>
      </c>
      <c r="C389" s="29">
        <v>86</v>
      </c>
      <c r="D389" s="29" t="s">
        <v>229</v>
      </c>
      <c r="E389" s="31" t="s">
        <v>230</v>
      </c>
      <c r="F389" s="29">
        <v>6139</v>
      </c>
      <c r="G389" s="29" t="s">
        <v>59</v>
      </c>
      <c r="H389" s="32">
        <v>46103</v>
      </c>
      <c r="I389" s="33">
        <v>46104</v>
      </c>
      <c r="J389" s="34" t="s">
        <v>74</v>
      </c>
      <c r="K389" s="35">
        <v>0.70833333333333337</v>
      </c>
      <c r="L389" s="35">
        <v>0.8345717592592593</v>
      </c>
      <c r="M389" s="36">
        <v>8.3333333333333329E-2</v>
      </c>
      <c r="N389" s="35">
        <v>0.20957175925925925</v>
      </c>
      <c r="O389" s="37">
        <f>IF(N389&gt;M389,N389-M389,(N389+1)-M389)</f>
        <v>0.12623842592592593</v>
      </c>
      <c r="P389" s="29" t="s">
        <v>231</v>
      </c>
      <c r="Q389" s="29" t="s">
        <v>59</v>
      </c>
      <c r="R389" s="29" t="s">
        <v>231</v>
      </c>
      <c r="S389" s="38" t="s">
        <v>46</v>
      </c>
      <c r="T389" s="39" t="s">
        <v>73</v>
      </c>
      <c r="U389" s="39" t="s">
        <v>59</v>
      </c>
      <c r="V389" s="38" t="s">
        <v>107</v>
      </c>
      <c r="W389" s="40" t="s">
        <v>59</v>
      </c>
      <c r="X389" s="13" t="s">
        <v>59</v>
      </c>
      <c r="Y389" s="13" t="s">
        <v>59</v>
      </c>
      <c r="Z389" s="13" t="s">
        <v>59</v>
      </c>
      <c r="AA389" s="13" t="s">
        <v>59</v>
      </c>
      <c r="AB389" s="41" t="s">
        <v>59</v>
      </c>
      <c r="AC389" s="16" t="s">
        <v>59</v>
      </c>
      <c r="AD389" s="42" t="s">
        <v>59</v>
      </c>
      <c r="AE389" s="42">
        <v>2</v>
      </c>
      <c r="AF389" s="42">
        <v>0.12</v>
      </c>
      <c r="AG389" s="43" t="s">
        <v>59</v>
      </c>
      <c r="AH389" s="43" t="s">
        <v>59</v>
      </c>
      <c r="AI389" s="43" t="s">
        <v>59</v>
      </c>
      <c r="AJ389" s="17" t="s">
        <v>59</v>
      </c>
      <c r="AK389" s="17" t="s">
        <v>59</v>
      </c>
      <c r="AL389" s="17" t="e">
        <v>#N/A</v>
      </c>
      <c r="AM389" s="17" t="s">
        <v>59</v>
      </c>
      <c r="AN389" s="17" t="s">
        <v>59</v>
      </c>
      <c r="AO389" s="44" t="s">
        <v>61</v>
      </c>
    </row>
    <row r="390" spans="1:41" ht="12" customHeight="1" x14ac:dyDescent="0.35">
      <c r="A390" s="29" t="s">
        <v>76</v>
      </c>
      <c r="B390" s="30" t="s">
        <v>228</v>
      </c>
      <c r="C390" s="29">
        <v>86</v>
      </c>
      <c r="D390" s="29" t="s">
        <v>229</v>
      </c>
      <c r="E390" s="31" t="s">
        <v>230</v>
      </c>
      <c r="F390" s="29">
        <v>6139</v>
      </c>
      <c r="G390" s="29" t="s">
        <v>59</v>
      </c>
      <c r="H390" s="32">
        <v>46103</v>
      </c>
      <c r="I390" s="33">
        <v>46104</v>
      </c>
      <c r="J390" s="34" t="s">
        <v>74</v>
      </c>
      <c r="K390" s="35">
        <v>0.8460185185185185</v>
      </c>
      <c r="L390" s="35">
        <v>0.88843749999999999</v>
      </c>
      <c r="M390" s="36">
        <v>0.22101851851851853</v>
      </c>
      <c r="N390" s="35">
        <v>0.26343749999999999</v>
      </c>
      <c r="O390" s="37">
        <f>IF(N390&gt;M390,N390-M390,(N390+1)-M390)</f>
        <v>4.241898148148146E-2</v>
      </c>
      <c r="P390" s="29" t="s">
        <v>232</v>
      </c>
      <c r="Q390" s="29" t="s">
        <v>59</v>
      </c>
      <c r="R390" s="29" t="s">
        <v>232</v>
      </c>
      <c r="S390" s="38" t="s">
        <v>48</v>
      </c>
      <c r="T390" s="39" t="s">
        <v>73</v>
      </c>
      <c r="U390" s="39" t="s">
        <v>59</v>
      </c>
      <c r="V390" s="38" t="s">
        <v>107</v>
      </c>
      <c r="W390" s="40" t="s">
        <v>59</v>
      </c>
      <c r="X390" s="13" t="s">
        <v>59</v>
      </c>
      <c r="Y390" s="13" t="s">
        <v>59</v>
      </c>
      <c r="Z390" s="13" t="s">
        <v>59</v>
      </c>
      <c r="AA390" s="13" t="s">
        <v>59</v>
      </c>
      <c r="AB390" s="41" t="s">
        <v>59</v>
      </c>
      <c r="AC390" s="16" t="s">
        <v>59</v>
      </c>
      <c r="AD390" s="42" t="s">
        <v>59</v>
      </c>
      <c r="AE390" s="42">
        <v>7.2</v>
      </c>
      <c r="AF390" s="42">
        <v>0.33</v>
      </c>
      <c r="AG390" s="43" t="s">
        <v>59</v>
      </c>
      <c r="AH390" s="43" t="s">
        <v>59</v>
      </c>
      <c r="AI390" s="43" t="s">
        <v>59</v>
      </c>
      <c r="AJ390" s="17" t="s">
        <v>59</v>
      </c>
      <c r="AK390" s="17" t="s">
        <v>59</v>
      </c>
      <c r="AL390" s="17" t="e">
        <v>#N/A</v>
      </c>
      <c r="AM390" s="17" t="s">
        <v>59</v>
      </c>
      <c r="AN390" s="17" t="s">
        <v>59</v>
      </c>
      <c r="AO390" s="44" t="s">
        <v>61</v>
      </c>
    </row>
    <row r="391" spans="1:41" ht="12" customHeight="1" x14ac:dyDescent="0.35">
      <c r="A391" s="29" t="s">
        <v>76</v>
      </c>
      <c r="B391" s="30" t="s">
        <v>228</v>
      </c>
      <c r="C391" s="29">
        <v>86</v>
      </c>
      <c r="D391" s="29" t="s">
        <v>229</v>
      </c>
      <c r="E391" s="31" t="s">
        <v>230</v>
      </c>
      <c r="F391" s="29">
        <v>6139</v>
      </c>
      <c r="G391" s="29" t="s">
        <v>59</v>
      </c>
      <c r="H391" s="32">
        <v>46103</v>
      </c>
      <c r="I391" s="33">
        <v>46104</v>
      </c>
      <c r="J391" s="34" t="s">
        <v>74</v>
      </c>
      <c r="K391" s="35">
        <v>0.90093749999999995</v>
      </c>
      <c r="L391" s="35">
        <v>0.97008101851851847</v>
      </c>
      <c r="M391" s="36">
        <v>0.2759375</v>
      </c>
      <c r="N391" s="35">
        <v>0.34508101851851852</v>
      </c>
      <c r="O391" s="37">
        <f>IF(N391&gt;M391,N391-M391,(N391+1)-M391)</f>
        <v>6.9143518518518521E-2</v>
      </c>
      <c r="P391" s="29" t="s">
        <v>232</v>
      </c>
      <c r="Q391" s="29" t="s">
        <v>59</v>
      </c>
      <c r="R391" s="29" t="s">
        <v>232</v>
      </c>
      <c r="S391" s="38" t="s">
        <v>48</v>
      </c>
      <c r="T391" s="39" t="s">
        <v>73</v>
      </c>
      <c r="U391" s="39" t="s">
        <v>59</v>
      </c>
      <c r="V391" s="38" t="s">
        <v>107</v>
      </c>
      <c r="W391" s="40" t="s">
        <v>59</v>
      </c>
      <c r="X391" s="13" t="s">
        <v>59</v>
      </c>
      <c r="Y391" s="13" t="s">
        <v>59</v>
      </c>
      <c r="Z391" s="13" t="s">
        <v>59</v>
      </c>
      <c r="AA391" s="13" t="s">
        <v>59</v>
      </c>
      <c r="AB391" s="41" t="s">
        <v>59</v>
      </c>
      <c r="AC391" s="16" t="s">
        <v>59</v>
      </c>
      <c r="AD391" s="42" t="s">
        <v>59</v>
      </c>
      <c r="AE391" s="42">
        <v>4.8</v>
      </c>
      <c r="AF391" s="42">
        <v>0.09</v>
      </c>
      <c r="AG391" s="43" t="s">
        <v>59</v>
      </c>
      <c r="AH391" s="43" t="s">
        <v>59</v>
      </c>
      <c r="AI391" s="43" t="s">
        <v>59</v>
      </c>
      <c r="AJ391" s="17" t="s">
        <v>59</v>
      </c>
      <c r="AK391" s="17" t="s">
        <v>59</v>
      </c>
      <c r="AL391" s="17" t="e">
        <v>#N/A</v>
      </c>
      <c r="AM391" s="17" t="s">
        <v>59</v>
      </c>
      <c r="AN391" s="17" t="s">
        <v>59</v>
      </c>
      <c r="AO391" s="44" t="s">
        <v>61</v>
      </c>
    </row>
    <row r="392" spans="1:41" ht="12" customHeight="1" x14ac:dyDescent="0.35">
      <c r="A392" s="29" t="s">
        <v>76</v>
      </c>
      <c r="B392" s="30" t="s">
        <v>228</v>
      </c>
      <c r="C392" s="29">
        <v>86</v>
      </c>
      <c r="D392" s="29" t="s">
        <v>229</v>
      </c>
      <c r="E392" s="31" t="s">
        <v>230</v>
      </c>
      <c r="F392" s="29">
        <v>6139</v>
      </c>
      <c r="G392" s="29" t="s">
        <v>59</v>
      </c>
      <c r="H392" s="32">
        <v>46103</v>
      </c>
      <c r="I392" s="33">
        <v>46104</v>
      </c>
      <c r="J392" s="34" t="s">
        <v>74</v>
      </c>
      <c r="K392" s="35">
        <v>0.98222222222222222</v>
      </c>
      <c r="L392" s="35">
        <v>4.6168981481481484E-2</v>
      </c>
      <c r="M392" s="36">
        <v>0.35722222222222222</v>
      </c>
      <c r="N392" s="35">
        <v>0.42116898148148146</v>
      </c>
      <c r="O392" s="37">
        <f>IF(N392&gt;M392,N392-M392,(N392+1)-M392)</f>
        <v>6.3946759259259245E-2</v>
      </c>
      <c r="P392" s="29" t="s">
        <v>232</v>
      </c>
      <c r="Q392" s="29" t="s">
        <v>59</v>
      </c>
      <c r="R392" s="29" t="s">
        <v>232</v>
      </c>
      <c r="S392" s="38" t="s">
        <v>48</v>
      </c>
      <c r="T392" s="39" t="s">
        <v>73</v>
      </c>
      <c r="U392" s="39" t="s">
        <v>59</v>
      </c>
      <c r="V392" s="38" t="s">
        <v>107</v>
      </c>
      <c r="W392" s="40" t="s">
        <v>59</v>
      </c>
      <c r="X392" s="13" t="s">
        <v>59</v>
      </c>
      <c r="Y392" s="13" t="s">
        <v>59</v>
      </c>
      <c r="Z392" s="13" t="s">
        <v>59</v>
      </c>
      <c r="AA392" s="13" t="s">
        <v>59</v>
      </c>
      <c r="AB392" s="41" t="s">
        <v>59</v>
      </c>
      <c r="AC392" s="16" t="s">
        <v>59</v>
      </c>
      <c r="AD392" s="42" t="s">
        <v>59</v>
      </c>
      <c r="AE392" s="42">
        <v>10</v>
      </c>
      <c r="AF392" s="42">
        <v>0.18</v>
      </c>
      <c r="AG392" s="43" t="s">
        <v>59</v>
      </c>
      <c r="AH392" s="43" t="s">
        <v>59</v>
      </c>
      <c r="AI392" s="43" t="s">
        <v>59</v>
      </c>
      <c r="AJ392" s="17" t="s">
        <v>59</v>
      </c>
      <c r="AK392" s="17" t="s">
        <v>59</v>
      </c>
      <c r="AL392" s="17" t="e">
        <v>#N/A</v>
      </c>
      <c r="AM392" s="17" t="s">
        <v>59</v>
      </c>
      <c r="AN392" s="17" t="s">
        <v>59</v>
      </c>
      <c r="AO392" s="44" t="s">
        <v>61</v>
      </c>
    </row>
    <row r="393" spans="1:41" ht="12" customHeight="1" x14ac:dyDescent="0.35">
      <c r="A393" s="29" t="s">
        <v>76</v>
      </c>
      <c r="B393" s="30" t="s">
        <v>228</v>
      </c>
      <c r="C393" s="29">
        <v>86</v>
      </c>
      <c r="D393" s="29" t="s">
        <v>229</v>
      </c>
      <c r="E393" s="31" t="s">
        <v>230</v>
      </c>
      <c r="F393" s="29">
        <v>6139</v>
      </c>
      <c r="G393" s="29" t="s">
        <v>59</v>
      </c>
      <c r="H393" s="32">
        <v>46104</v>
      </c>
      <c r="I393" s="33">
        <v>46104</v>
      </c>
      <c r="J393" s="34" t="s">
        <v>67</v>
      </c>
      <c r="K393" s="35">
        <v>5.603009259259259E-2</v>
      </c>
      <c r="L393" s="35">
        <v>0.10361111111111111</v>
      </c>
      <c r="M393" s="36">
        <v>0.43103009259259262</v>
      </c>
      <c r="N393" s="35">
        <v>0.4786111111111111</v>
      </c>
      <c r="O393" s="37">
        <f>IF(N393&gt;M393,N393-M393,(N393+1)-M393)</f>
        <v>4.7581018518518481E-2</v>
      </c>
      <c r="P393" s="29" t="s">
        <v>232</v>
      </c>
      <c r="Q393" s="29" t="s">
        <v>59</v>
      </c>
      <c r="R393" s="29" t="s">
        <v>232</v>
      </c>
      <c r="S393" s="38" t="s">
        <v>48</v>
      </c>
      <c r="T393" s="39" t="s">
        <v>73</v>
      </c>
      <c r="U393" s="39" t="s">
        <v>59</v>
      </c>
      <c r="V393" s="38" t="s">
        <v>107</v>
      </c>
      <c r="W393" s="40" t="s">
        <v>59</v>
      </c>
      <c r="X393" s="13" t="s">
        <v>59</v>
      </c>
      <c r="Y393" s="13" t="s">
        <v>59</v>
      </c>
      <c r="Z393" s="13" t="s">
        <v>59</v>
      </c>
      <c r="AA393" s="13" t="s">
        <v>59</v>
      </c>
      <c r="AB393" s="41" t="s">
        <v>59</v>
      </c>
      <c r="AC393" s="16" t="s">
        <v>59</v>
      </c>
      <c r="AD393" s="42" t="s">
        <v>59</v>
      </c>
      <c r="AE393" s="42">
        <v>11.5</v>
      </c>
      <c r="AF393" s="42">
        <v>0.27</v>
      </c>
      <c r="AG393" s="43" t="s">
        <v>59</v>
      </c>
      <c r="AH393" s="43" t="s">
        <v>59</v>
      </c>
      <c r="AI393" s="43" t="s">
        <v>59</v>
      </c>
      <c r="AJ393" s="17" t="s">
        <v>59</v>
      </c>
      <c r="AK393" s="17" t="s">
        <v>59</v>
      </c>
      <c r="AL393" s="17" t="e">
        <v>#N/A</v>
      </c>
      <c r="AM393" s="17" t="s">
        <v>59</v>
      </c>
      <c r="AN393" s="17" t="s">
        <v>59</v>
      </c>
      <c r="AO393" s="44" t="s">
        <v>61</v>
      </c>
    </row>
    <row r="394" spans="1:41" ht="12" customHeight="1" x14ac:dyDescent="0.35">
      <c r="A394" s="29" t="s">
        <v>76</v>
      </c>
      <c r="B394" s="30" t="s">
        <v>228</v>
      </c>
      <c r="C394" s="29">
        <v>86</v>
      </c>
      <c r="D394" s="29" t="s">
        <v>229</v>
      </c>
      <c r="E394" s="31" t="s">
        <v>230</v>
      </c>
      <c r="F394" s="29">
        <v>6139</v>
      </c>
      <c r="G394" s="29" t="s">
        <v>59</v>
      </c>
      <c r="H394" s="32">
        <v>46104</v>
      </c>
      <c r="I394" s="33">
        <v>46104</v>
      </c>
      <c r="J394" s="34" t="s">
        <v>67</v>
      </c>
      <c r="K394" s="35">
        <v>0.50851851851851848</v>
      </c>
      <c r="L394" s="35">
        <v>0.57819444444444446</v>
      </c>
      <c r="M394" s="36">
        <v>0.88351851851851848</v>
      </c>
      <c r="N394" s="35">
        <v>0.95319444444444446</v>
      </c>
      <c r="O394" s="37">
        <f>IF(N394&gt;M394,N394-M394,(N394+1)-M394)</f>
        <v>6.9675925925925974E-2</v>
      </c>
      <c r="P394" s="29" t="s">
        <v>233</v>
      </c>
      <c r="Q394" s="29" t="s">
        <v>59</v>
      </c>
      <c r="R394" s="29" t="s">
        <v>233</v>
      </c>
      <c r="S394" s="38" t="s">
        <v>48</v>
      </c>
      <c r="T394" s="39" t="s">
        <v>73</v>
      </c>
      <c r="U394" s="39" t="s">
        <v>59</v>
      </c>
      <c r="V394" s="38" t="s">
        <v>107</v>
      </c>
      <c r="W394" s="40" t="s">
        <v>59</v>
      </c>
      <c r="X394" s="13" t="s">
        <v>59</v>
      </c>
      <c r="Y394" s="13" t="s">
        <v>59</v>
      </c>
      <c r="Z394" s="13" t="s">
        <v>59</v>
      </c>
      <c r="AA394" s="13" t="s">
        <v>59</v>
      </c>
      <c r="AB394" s="41" t="s">
        <v>59</v>
      </c>
      <c r="AC394" s="16" t="s">
        <v>59</v>
      </c>
      <c r="AD394" s="42" t="s">
        <v>59</v>
      </c>
      <c r="AE394" s="42">
        <v>10.4</v>
      </c>
      <c r="AF394" s="42">
        <v>0.08</v>
      </c>
      <c r="AG394" s="43" t="s">
        <v>59</v>
      </c>
      <c r="AH394" s="43" t="s">
        <v>59</v>
      </c>
      <c r="AI394" s="43" t="s">
        <v>59</v>
      </c>
      <c r="AJ394" s="17" t="s">
        <v>59</v>
      </c>
      <c r="AK394" s="17" t="s">
        <v>59</v>
      </c>
      <c r="AL394" s="17" t="e">
        <v>#N/A</v>
      </c>
      <c r="AM394" s="17" t="s">
        <v>59</v>
      </c>
      <c r="AN394" s="17" t="s">
        <v>59</v>
      </c>
      <c r="AO394" s="44" t="s">
        <v>61</v>
      </c>
    </row>
    <row r="395" spans="1:41" ht="12" customHeight="1" x14ac:dyDescent="0.35">
      <c r="A395" s="29" t="s">
        <v>76</v>
      </c>
      <c r="B395" s="30" t="s">
        <v>228</v>
      </c>
      <c r="C395" s="29">
        <v>86</v>
      </c>
      <c r="D395" s="29" t="s">
        <v>229</v>
      </c>
      <c r="E395" s="31" t="s">
        <v>230</v>
      </c>
      <c r="F395" s="29">
        <v>6139</v>
      </c>
      <c r="G395" s="29" t="s">
        <v>59</v>
      </c>
      <c r="H395" s="32">
        <v>46104</v>
      </c>
      <c r="I395" s="33">
        <v>46105</v>
      </c>
      <c r="J395" s="34" t="s">
        <v>67</v>
      </c>
      <c r="K395" s="35">
        <v>0.69050925925925921</v>
      </c>
      <c r="L395" s="35">
        <v>0.70832175925925922</v>
      </c>
      <c r="M395" s="36">
        <v>6.5509259259259253E-2</v>
      </c>
      <c r="N395" s="35">
        <v>8.3321759259259262E-2</v>
      </c>
      <c r="O395" s="37">
        <f>IF(N395&gt;M395,N395-M395,(N395+1)-M395)</f>
        <v>1.7812500000000009E-2</v>
      </c>
      <c r="P395" s="29" t="s">
        <v>232</v>
      </c>
      <c r="Q395" s="29" t="s">
        <v>59</v>
      </c>
      <c r="R395" s="29" t="s">
        <v>232</v>
      </c>
      <c r="S395" s="38" t="s">
        <v>49</v>
      </c>
      <c r="T395" s="39" t="s">
        <v>73</v>
      </c>
      <c r="U395" s="39" t="s">
        <v>59</v>
      </c>
      <c r="V395" s="38" t="s">
        <v>107</v>
      </c>
      <c r="W395" s="40" t="s">
        <v>59</v>
      </c>
      <c r="X395" s="13" t="s">
        <v>59</v>
      </c>
      <c r="Y395" s="13" t="s">
        <v>59</v>
      </c>
      <c r="Z395" s="13" t="s">
        <v>59</v>
      </c>
      <c r="AA395" s="13" t="s">
        <v>59</v>
      </c>
      <c r="AB395" s="41" t="s">
        <v>59</v>
      </c>
      <c r="AC395" s="16" t="s">
        <v>59</v>
      </c>
      <c r="AD395" s="42" t="s">
        <v>59</v>
      </c>
      <c r="AE395" s="42">
        <v>2.4</v>
      </c>
      <c r="AF395" s="42">
        <v>0.1</v>
      </c>
      <c r="AG395" s="43" t="s">
        <v>59</v>
      </c>
      <c r="AH395" s="43" t="s">
        <v>59</v>
      </c>
      <c r="AI395" s="43" t="s">
        <v>59</v>
      </c>
      <c r="AJ395" s="17" t="s">
        <v>59</v>
      </c>
      <c r="AK395" s="17" t="s">
        <v>59</v>
      </c>
      <c r="AL395" s="17" t="e">
        <v>#N/A</v>
      </c>
      <c r="AM395" s="17" t="s">
        <v>59</v>
      </c>
      <c r="AN395" s="17" t="s">
        <v>59</v>
      </c>
      <c r="AO395" s="44" t="s">
        <v>61</v>
      </c>
    </row>
    <row r="396" spans="1:41" ht="12" customHeight="1" x14ac:dyDescent="0.35">
      <c r="A396" s="29" t="s">
        <v>76</v>
      </c>
      <c r="B396" s="30" t="s">
        <v>228</v>
      </c>
      <c r="C396" s="29">
        <v>86</v>
      </c>
      <c r="D396" s="29" t="s">
        <v>229</v>
      </c>
      <c r="E396" s="31" t="s">
        <v>230</v>
      </c>
      <c r="F396" s="29">
        <v>6139</v>
      </c>
      <c r="G396" s="29" t="s">
        <v>59</v>
      </c>
      <c r="H396" s="32">
        <v>46104</v>
      </c>
      <c r="I396" s="33">
        <v>46105</v>
      </c>
      <c r="J396" s="34" t="s">
        <v>67</v>
      </c>
      <c r="K396" s="35">
        <v>0.70833333333333337</v>
      </c>
      <c r="L396" s="35">
        <v>0.75445601851851851</v>
      </c>
      <c r="M396" s="36">
        <v>8.3333333333333329E-2</v>
      </c>
      <c r="N396" s="35">
        <v>0.12945601851851851</v>
      </c>
      <c r="O396" s="37">
        <f>IF(N396&gt;M396,N396-M396,(N396+1)-M396)</f>
        <v>4.6122685185185183E-2</v>
      </c>
      <c r="P396" s="29" t="s">
        <v>232</v>
      </c>
      <c r="Q396" s="29" t="s">
        <v>59</v>
      </c>
      <c r="R396" s="29" t="s">
        <v>232</v>
      </c>
      <c r="S396" s="38" t="s">
        <v>48</v>
      </c>
      <c r="T396" s="39" t="s">
        <v>73</v>
      </c>
      <c r="U396" s="39" t="s">
        <v>59</v>
      </c>
      <c r="V396" s="38" t="s">
        <v>107</v>
      </c>
      <c r="W396" s="40" t="s">
        <v>59</v>
      </c>
      <c r="X396" s="13" t="s">
        <v>59</v>
      </c>
      <c r="Y396" s="13" t="s">
        <v>59</v>
      </c>
      <c r="Z396" s="13" t="s">
        <v>59</v>
      </c>
      <c r="AA396" s="13" t="s">
        <v>59</v>
      </c>
      <c r="AB396" s="41" t="s">
        <v>59</v>
      </c>
      <c r="AC396" s="16" t="s">
        <v>59</v>
      </c>
      <c r="AD396" s="42" t="s">
        <v>59</v>
      </c>
      <c r="AE396" s="42">
        <v>7.6</v>
      </c>
      <c r="AF396" s="42">
        <v>0.4</v>
      </c>
      <c r="AG396" s="43" t="s">
        <v>59</v>
      </c>
      <c r="AH396" s="43" t="s">
        <v>59</v>
      </c>
      <c r="AI396" s="43" t="s">
        <v>59</v>
      </c>
      <c r="AJ396" s="17" t="s">
        <v>59</v>
      </c>
      <c r="AK396" s="17" t="s">
        <v>59</v>
      </c>
      <c r="AL396" s="17" t="e">
        <v>#N/A</v>
      </c>
      <c r="AM396" s="17" t="s">
        <v>59</v>
      </c>
      <c r="AN396" s="17" t="s">
        <v>59</v>
      </c>
      <c r="AO396" s="44" t="s">
        <v>61</v>
      </c>
    </row>
    <row r="397" spans="1:41" ht="12" customHeight="1" x14ac:dyDescent="0.35">
      <c r="A397" s="29" t="s">
        <v>76</v>
      </c>
      <c r="B397" s="30" t="s">
        <v>228</v>
      </c>
      <c r="C397" s="29">
        <v>86</v>
      </c>
      <c r="D397" s="29" t="s">
        <v>229</v>
      </c>
      <c r="E397" s="31" t="s">
        <v>230</v>
      </c>
      <c r="F397" s="29">
        <v>6139</v>
      </c>
      <c r="G397" s="29" t="s">
        <v>59</v>
      </c>
      <c r="H397" s="32">
        <v>46104</v>
      </c>
      <c r="I397" s="33">
        <v>46105</v>
      </c>
      <c r="J397" s="34" t="s">
        <v>67</v>
      </c>
      <c r="K397" s="35">
        <v>0.76582175925925922</v>
      </c>
      <c r="L397" s="35">
        <v>0.83497685185185189</v>
      </c>
      <c r="M397" s="36">
        <v>0.14082175925925927</v>
      </c>
      <c r="N397" s="35">
        <v>0.20997685185185186</v>
      </c>
      <c r="O397" s="37">
        <f>IF(N397&gt;M397,N397-M397,(N397+1)-M397)</f>
        <v>6.9155092592592587E-2</v>
      </c>
      <c r="P397" s="29" t="s">
        <v>232</v>
      </c>
      <c r="Q397" s="29" t="s">
        <v>59</v>
      </c>
      <c r="R397" s="29" t="s">
        <v>232</v>
      </c>
      <c r="S397" s="38" t="s">
        <v>48</v>
      </c>
      <c r="T397" s="39" t="s">
        <v>73</v>
      </c>
      <c r="U397" s="39" t="s">
        <v>59</v>
      </c>
      <c r="V397" s="38" t="s">
        <v>107</v>
      </c>
      <c r="W397" s="40" t="s">
        <v>59</v>
      </c>
      <c r="X397" s="13" t="s">
        <v>59</v>
      </c>
      <c r="Y397" s="13" t="s">
        <v>59</v>
      </c>
      <c r="Z397" s="13" t="s">
        <v>59</v>
      </c>
      <c r="AA397" s="13" t="s">
        <v>59</v>
      </c>
      <c r="AB397" s="41" t="s">
        <v>59</v>
      </c>
      <c r="AC397" s="16" t="s">
        <v>59</v>
      </c>
      <c r="AD397" s="42" t="s">
        <v>59</v>
      </c>
      <c r="AE397" s="42">
        <v>10.1</v>
      </c>
      <c r="AF397" s="42">
        <v>0.71</v>
      </c>
      <c r="AG397" s="43" t="s">
        <v>59</v>
      </c>
      <c r="AH397" s="43" t="s">
        <v>59</v>
      </c>
      <c r="AI397" s="43" t="s">
        <v>59</v>
      </c>
      <c r="AJ397" s="17" t="s">
        <v>59</v>
      </c>
      <c r="AK397" s="17" t="s">
        <v>59</v>
      </c>
      <c r="AL397" s="17" t="e">
        <v>#N/A</v>
      </c>
      <c r="AM397" s="17" t="s">
        <v>59</v>
      </c>
      <c r="AN397" s="17" t="s">
        <v>59</v>
      </c>
      <c r="AO397" s="44" t="s">
        <v>61</v>
      </c>
    </row>
    <row r="398" spans="1:41" ht="12" customHeight="1" x14ac:dyDescent="0.35">
      <c r="A398" s="29" t="s">
        <v>76</v>
      </c>
      <c r="B398" s="30" t="s">
        <v>228</v>
      </c>
      <c r="C398" s="29">
        <v>86</v>
      </c>
      <c r="D398" s="29" t="s">
        <v>229</v>
      </c>
      <c r="E398" s="31" t="s">
        <v>230</v>
      </c>
      <c r="F398" s="29">
        <v>6139</v>
      </c>
      <c r="G398" s="29" t="s">
        <v>59</v>
      </c>
      <c r="H398" s="32">
        <v>46104</v>
      </c>
      <c r="I398" s="33">
        <v>46105</v>
      </c>
      <c r="J398" s="34" t="s">
        <v>67</v>
      </c>
      <c r="K398" s="35">
        <v>0.84758101851851853</v>
      </c>
      <c r="L398" s="35">
        <v>0.9172569444444445</v>
      </c>
      <c r="M398" s="36">
        <v>0.22258101851851853</v>
      </c>
      <c r="N398" s="35">
        <v>0.29225694444444444</v>
      </c>
      <c r="O398" s="37">
        <f>IF(N398&gt;M398,N398-M398,(N398+1)-M398)</f>
        <v>6.9675925925925919E-2</v>
      </c>
      <c r="P398" s="29" t="s">
        <v>233</v>
      </c>
      <c r="Q398" s="29" t="s">
        <v>59</v>
      </c>
      <c r="R398" s="29" t="s">
        <v>233</v>
      </c>
      <c r="S398" s="38" t="s">
        <v>48</v>
      </c>
      <c r="T398" s="39" t="s">
        <v>73</v>
      </c>
      <c r="U398" s="39" t="s">
        <v>59</v>
      </c>
      <c r="V398" s="38" t="s">
        <v>107</v>
      </c>
      <c r="W398" s="40" t="s">
        <v>59</v>
      </c>
      <c r="X398" s="13" t="s">
        <v>59</v>
      </c>
      <c r="Y398" s="13" t="s">
        <v>59</v>
      </c>
      <c r="Z398" s="13" t="s">
        <v>59</v>
      </c>
      <c r="AA398" s="13" t="s">
        <v>59</v>
      </c>
      <c r="AB398" s="41" t="s">
        <v>59</v>
      </c>
      <c r="AC398" s="16" t="s">
        <v>59</v>
      </c>
      <c r="AD398" s="42" t="s">
        <v>59</v>
      </c>
      <c r="AE398" s="42">
        <v>9.3000000000000007</v>
      </c>
      <c r="AF398" s="42">
        <v>0.33</v>
      </c>
      <c r="AG398" s="43" t="s">
        <v>59</v>
      </c>
      <c r="AH398" s="43" t="s">
        <v>59</v>
      </c>
      <c r="AI398" s="43" t="s">
        <v>59</v>
      </c>
      <c r="AJ398" s="17" t="s">
        <v>59</v>
      </c>
      <c r="AK398" s="17" t="s">
        <v>59</v>
      </c>
      <c r="AL398" s="17" t="e">
        <v>#N/A</v>
      </c>
      <c r="AM398" s="17" t="s">
        <v>59</v>
      </c>
      <c r="AN398" s="17" t="s">
        <v>59</v>
      </c>
      <c r="AO398" s="44" t="s">
        <v>61</v>
      </c>
    </row>
    <row r="399" spans="1:41" ht="12" customHeight="1" x14ac:dyDescent="0.35">
      <c r="A399" s="29" t="s">
        <v>76</v>
      </c>
      <c r="B399" s="30" t="s">
        <v>228</v>
      </c>
      <c r="C399" s="29">
        <v>86</v>
      </c>
      <c r="D399" s="29" t="s">
        <v>229</v>
      </c>
      <c r="E399" s="31" t="s">
        <v>230</v>
      </c>
      <c r="F399" s="29">
        <v>6139</v>
      </c>
      <c r="G399" s="29" t="s">
        <v>59</v>
      </c>
      <c r="H399" s="32">
        <v>46105</v>
      </c>
      <c r="I399" s="33">
        <v>46105</v>
      </c>
      <c r="J399" s="34" t="s">
        <v>99</v>
      </c>
      <c r="K399" s="35">
        <v>1.4166666666666666E-2</v>
      </c>
      <c r="L399" s="35">
        <v>3.5277777777777776E-2</v>
      </c>
      <c r="M399" s="36">
        <v>0.38916666666666666</v>
      </c>
      <c r="N399" s="35">
        <v>0.4102777777777778</v>
      </c>
      <c r="O399" s="37">
        <f>IF(N399&gt;M399,N399-M399,(N399+1)-M399)</f>
        <v>2.1111111111111136E-2</v>
      </c>
      <c r="P399" s="29" t="s">
        <v>232</v>
      </c>
      <c r="Q399" s="29" t="s">
        <v>59</v>
      </c>
      <c r="R399" s="29" t="s">
        <v>232</v>
      </c>
      <c r="S399" s="38" t="s">
        <v>49</v>
      </c>
      <c r="T399" s="39" t="s">
        <v>73</v>
      </c>
      <c r="U399" s="39" t="s">
        <v>59</v>
      </c>
      <c r="V399" s="38" t="s">
        <v>107</v>
      </c>
      <c r="W399" s="40" t="s">
        <v>59</v>
      </c>
      <c r="X399" s="13" t="s">
        <v>59</v>
      </c>
      <c r="Y399" s="13" t="s">
        <v>59</v>
      </c>
      <c r="Z399" s="13" t="s">
        <v>59</v>
      </c>
      <c r="AA399" s="13" t="s">
        <v>59</v>
      </c>
      <c r="AB399" s="41" t="s">
        <v>59</v>
      </c>
      <c r="AC399" s="16" t="s">
        <v>59</v>
      </c>
      <c r="AD399" s="42" t="s">
        <v>59</v>
      </c>
      <c r="AE399" s="42">
        <v>1.5</v>
      </c>
      <c r="AF399" s="42">
        <v>0.03</v>
      </c>
      <c r="AG399" s="43" t="s">
        <v>59</v>
      </c>
      <c r="AH399" s="43" t="s">
        <v>59</v>
      </c>
      <c r="AI399" s="43" t="s">
        <v>59</v>
      </c>
      <c r="AJ399" s="17" t="s">
        <v>59</v>
      </c>
      <c r="AK399" s="17" t="s">
        <v>59</v>
      </c>
      <c r="AL399" s="17" t="e">
        <v>#N/A</v>
      </c>
      <c r="AM399" s="17" t="s">
        <v>59</v>
      </c>
      <c r="AN399" s="17" t="s">
        <v>59</v>
      </c>
      <c r="AO399" s="44" t="s">
        <v>61</v>
      </c>
    </row>
    <row r="400" spans="1:41" ht="12" customHeight="1" x14ac:dyDescent="0.35">
      <c r="A400" s="29" t="s">
        <v>76</v>
      </c>
      <c r="B400" s="30" t="s">
        <v>228</v>
      </c>
      <c r="C400" s="29">
        <v>86</v>
      </c>
      <c r="D400" s="29" t="s">
        <v>229</v>
      </c>
      <c r="E400" s="31" t="s">
        <v>230</v>
      </c>
      <c r="F400" s="29">
        <v>6139</v>
      </c>
      <c r="G400" s="29" t="s">
        <v>59</v>
      </c>
      <c r="H400" s="32">
        <v>46105</v>
      </c>
      <c r="I400" s="33">
        <v>46105</v>
      </c>
      <c r="J400" s="34" t="s">
        <v>99</v>
      </c>
      <c r="K400" s="35">
        <v>0.28635416666666669</v>
      </c>
      <c r="L400" s="35">
        <v>0.35603009259259261</v>
      </c>
      <c r="M400" s="36">
        <v>0.66135416666666669</v>
      </c>
      <c r="N400" s="35">
        <v>0.73103009259259255</v>
      </c>
      <c r="O400" s="37">
        <f>IF(N400&gt;M400,N400-M400,(N400+1)-M400)</f>
        <v>6.9675925925925863E-2</v>
      </c>
      <c r="P400" s="29" t="s">
        <v>233</v>
      </c>
      <c r="Q400" s="29" t="s">
        <v>59</v>
      </c>
      <c r="R400" s="29" t="s">
        <v>233</v>
      </c>
      <c r="S400" s="38" t="s">
        <v>48</v>
      </c>
      <c r="T400" s="39" t="s">
        <v>73</v>
      </c>
      <c r="U400" s="39" t="s">
        <v>59</v>
      </c>
      <c r="V400" s="38" t="s">
        <v>107</v>
      </c>
      <c r="W400" s="40" t="s">
        <v>59</v>
      </c>
      <c r="X400" s="13" t="s">
        <v>59</v>
      </c>
      <c r="Y400" s="13" t="s">
        <v>59</v>
      </c>
      <c r="Z400" s="13" t="s">
        <v>59</v>
      </c>
      <c r="AA400" s="13" t="s">
        <v>59</v>
      </c>
      <c r="AB400" s="41" t="s">
        <v>59</v>
      </c>
      <c r="AC400" s="16" t="s">
        <v>59</v>
      </c>
      <c r="AD400" s="42" t="s">
        <v>59</v>
      </c>
      <c r="AE400" s="42">
        <v>1.9</v>
      </c>
      <c r="AF400" s="42">
        <v>0.04</v>
      </c>
      <c r="AG400" s="43" t="s">
        <v>59</v>
      </c>
      <c r="AH400" s="43" t="s">
        <v>59</v>
      </c>
      <c r="AI400" s="43" t="s">
        <v>59</v>
      </c>
      <c r="AJ400" s="17" t="s">
        <v>59</v>
      </c>
      <c r="AK400" s="17" t="s">
        <v>59</v>
      </c>
      <c r="AL400" s="17" t="e">
        <v>#N/A</v>
      </c>
      <c r="AM400" s="17" t="s">
        <v>59</v>
      </c>
      <c r="AN400" s="17" t="s">
        <v>59</v>
      </c>
      <c r="AO400" s="44" t="s">
        <v>61</v>
      </c>
    </row>
    <row r="401" spans="1:41" ht="12" customHeight="1" x14ac:dyDescent="0.35">
      <c r="A401" s="29" t="s">
        <v>76</v>
      </c>
      <c r="B401" s="30" t="s">
        <v>228</v>
      </c>
      <c r="C401" s="29">
        <v>86</v>
      </c>
      <c r="D401" s="29" t="s">
        <v>229</v>
      </c>
      <c r="E401" s="31" t="s">
        <v>230</v>
      </c>
      <c r="F401" s="29">
        <v>6139</v>
      </c>
      <c r="G401" s="29" t="s">
        <v>59</v>
      </c>
      <c r="H401" s="32">
        <v>46105</v>
      </c>
      <c r="I401" s="33">
        <v>46105</v>
      </c>
      <c r="J401" s="34" t="s">
        <v>99</v>
      </c>
      <c r="K401" s="35">
        <v>0.53074074074074074</v>
      </c>
      <c r="L401" s="35">
        <v>0.59329861111111115</v>
      </c>
      <c r="M401" s="36">
        <v>0.90574074074074074</v>
      </c>
      <c r="N401" s="35">
        <v>0.96829861111111115</v>
      </c>
      <c r="O401" s="37">
        <f>IF(N401&gt;M401,N401-M401,(N401+1)-M401)</f>
        <v>6.2557870370370416E-2</v>
      </c>
      <c r="P401" s="29" t="s">
        <v>232</v>
      </c>
      <c r="Q401" s="29" t="s">
        <v>59</v>
      </c>
      <c r="R401" s="29" t="s">
        <v>232</v>
      </c>
      <c r="S401" s="38" t="s">
        <v>48</v>
      </c>
      <c r="T401" s="39" t="s">
        <v>73</v>
      </c>
      <c r="U401" s="39" t="s">
        <v>59</v>
      </c>
      <c r="V401" s="38" t="s">
        <v>107</v>
      </c>
      <c r="W401" s="40" t="s">
        <v>59</v>
      </c>
      <c r="X401" s="13" t="s">
        <v>59</v>
      </c>
      <c r="Y401" s="13" t="s">
        <v>59</v>
      </c>
      <c r="Z401" s="13" t="s">
        <v>59</v>
      </c>
      <c r="AA401" s="13" t="s">
        <v>59</v>
      </c>
      <c r="AB401" s="41" t="s">
        <v>59</v>
      </c>
      <c r="AC401" s="16" t="s">
        <v>59</v>
      </c>
      <c r="AD401" s="42" t="s">
        <v>59</v>
      </c>
      <c r="AE401" s="42">
        <v>9.1999999999999993</v>
      </c>
      <c r="AF401" s="42">
        <v>0.08</v>
      </c>
      <c r="AG401" s="43" t="s">
        <v>59</v>
      </c>
      <c r="AH401" s="43" t="s">
        <v>59</v>
      </c>
      <c r="AI401" s="43" t="s">
        <v>59</v>
      </c>
      <c r="AJ401" s="17" t="s">
        <v>59</v>
      </c>
      <c r="AK401" s="17" t="s">
        <v>59</v>
      </c>
      <c r="AL401" s="17" t="e">
        <v>#N/A</v>
      </c>
      <c r="AM401" s="17" t="s">
        <v>59</v>
      </c>
      <c r="AN401" s="17" t="s">
        <v>59</v>
      </c>
      <c r="AO401" s="44" t="s">
        <v>61</v>
      </c>
    </row>
    <row r="402" spans="1:41" ht="12" customHeight="1" x14ac:dyDescent="0.35">
      <c r="A402" s="29" t="s">
        <v>76</v>
      </c>
      <c r="B402" s="30" t="s">
        <v>228</v>
      </c>
      <c r="C402" s="29">
        <v>86</v>
      </c>
      <c r="D402" s="29" t="s">
        <v>229</v>
      </c>
      <c r="E402" s="31" t="s">
        <v>230</v>
      </c>
      <c r="F402" s="29">
        <v>6139</v>
      </c>
      <c r="G402" s="29" t="s">
        <v>59</v>
      </c>
      <c r="H402" s="32">
        <v>46105</v>
      </c>
      <c r="I402" s="33">
        <v>46105</v>
      </c>
      <c r="J402" s="34" t="s">
        <v>99</v>
      </c>
      <c r="K402" s="35">
        <v>0.60354166666666664</v>
      </c>
      <c r="L402" s="35">
        <v>0.65111111111111108</v>
      </c>
      <c r="M402" s="36">
        <v>0.97854166666666664</v>
      </c>
      <c r="N402" s="35">
        <v>2.6111111111111113E-2</v>
      </c>
      <c r="O402" s="37">
        <f>IF(N402&gt;M402,N402-M402,(N402+1)-M402)</f>
        <v>4.7569444444444553E-2</v>
      </c>
      <c r="P402" s="29" t="s">
        <v>232</v>
      </c>
      <c r="Q402" s="29" t="s">
        <v>59</v>
      </c>
      <c r="R402" s="29" t="s">
        <v>232</v>
      </c>
      <c r="S402" s="38" t="s">
        <v>48</v>
      </c>
      <c r="T402" s="39" t="s">
        <v>73</v>
      </c>
      <c r="U402" s="39" t="s">
        <v>59</v>
      </c>
      <c r="V402" s="38" t="s">
        <v>107</v>
      </c>
      <c r="W402" s="40" t="s">
        <v>59</v>
      </c>
      <c r="X402" s="13" t="s">
        <v>59</v>
      </c>
      <c r="Y402" s="13" t="s">
        <v>59</v>
      </c>
      <c r="Z402" s="13" t="s">
        <v>59</v>
      </c>
      <c r="AA402" s="13" t="s">
        <v>59</v>
      </c>
      <c r="AB402" s="41" t="s">
        <v>59</v>
      </c>
      <c r="AC402" s="16" t="s">
        <v>59</v>
      </c>
      <c r="AD402" s="42" t="s">
        <v>59</v>
      </c>
      <c r="AE402" s="42">
        <v>0</v>
      </c>
      <c r="AF402" s="42">
        <v>0</v>
      </c>
      <c r="AG402" s="43" t="s">
        <v>59</v>
      </c>
      <c r="AH402" s="43" t="s">
        <v>59</v>
      </c>
      <c r="AI402" s="43" t="s">
        <v>59</v>
      </c>
      <c r="AJ402" s="17" t="s">
        <v>59</v>
      </c>
      <c r="AK402" s="17" t="s">
        <v>59</v>
      </c>
      <c r="AL402" s="17" t="e">
        <v>#N/A</v>
      </c>
      <c r="AM402" s="17" t="s">
        <v>59</v>
      </c>
      <c r="AN402" s="17" t="s">
        <v>59</v>
      </c>
      <c r="AO402" s="44" t="s">
        <v>61</v>
      </c>
    </row>
    <row r="403" spans="1:41" ht="12" customHeight="1" x14ac:dyDescent="0.35">
      <c r="A403" s="29" t="s">
        <v>76</v>
      </c>
      <c r="B403" s="30" t="s">
        <v>228</v>
      </c>
      <c r="C403" s="29">
        <v>86</v>
      </c>
      <c r="D403" s="29" t="s">
        <v>229</v>
      </c>
      <c r="E403" s="31" t="s">
        <v>230</v>
      </c>
      <c r="F403" s="29">
        <v>6139</v>
      </c>
      <c r="G403" s="29" t="s">
        <v>59</v>
      </c>
      <c r="H403" s="32">
        <v>46105</v>
      </c>
      <c r="I403" s="33">
        <v>46106</v>
      </c>
      <c r="J403" s="34" t="s">
        <v>99</v>
      </c>
      <c r="K403" s="35">
        <v>0.85849537037037038</v>
      </c>
      <c r="L403" s="35">
        <v>0.92244212962962968</v>
      </c>
      <c r="M403" s="36">
        <v>0.23349537037037038</v>
      </c>
      <c r="N403" s="35">
        <v>0.29744212962962963</v>
      </c>
      <c r="O403" s="37">
        <f>IF(N403&gt;M403,N403-M403,(N403+1)-M403)</f>
        <v>6.3946759259259245E-2</v>
      </c>
      <c r="P403" s="29" t="s">
        <v>232</v>
      </c>
      <c r="Q403" s="29" t="s">
        <v>59</v>
      </c>
      <c r="R403" s="29" t="s">
        <v>232</v>
      </c>
      <c r="S403" s="38" t="s">
        <v>48</v>
      </c>
      <c r="T403" s="39" t="s">
        <v>73</v>
      </c>
      <c r="U403" s="39" t="s">
        <v>59</v>
      </c>
      <c r="V403" s="38" t="s">
        <v>107</v>
      </c>
      <c r="W403" s="40" t="s">
        <v>59</v>
      </c>
      <c r="X403" s="13" t="s">
        <v>59</v>
      </c>
      <c r="Y403" s="13" t="s">
        <v>59</v>
      </c>
      <c r="Z403" s="13" t="s">
        <v>59</v>
      </c>
      <c r="AA403" s="13" t="s">
        <v>59</v>
      </c>
      <c r="AB403" s="41" t="s">
        <v>59</v>
      </c>
      <c r="AC403" s="16" t="s">
        <v>59</v>
      </c>
      <c r="AD403" s="42" t="s">
        <v>59</v>
      </c>
      <c r="AE403" s="42">
        <v>4.4000000000000004</v>
      </c>
      <c r="AF403" s="42">
        <v>0.14000000000000001</v>
      </c>
      <c r="AG403" s="43" t="s">
        <v>59</v>
      </c>
      <c r="AH403" s="43" t="s">
        <v>59</v>
      </c>
      <c r="AI403" s="43" t="s">
        <v>59</v>
      </c>
      <c r="AJ403" s="17" t="s">
        <v>59</v>
      </c>
      <c r="AK403" s="17" t="s">
        <v>59</v>
      </c>
      <c r="AL403" s="17" t="e">
        <v>#N/A</v>
      </c>
      <c r="AM403" s="17" t="s">
        <v>59</v>
      </c>
      <c r="AN403" s="17" t="s">
        <v>59</v>
      </c>
      <c r="AO403" s="44" t="s">
        <v>61</v>
      </c>
    </row>
    <row r="404" spans="1:41" ht="12" customHeight="1" x14ac:dyDescent="0.35">
      <c r="A404" s="29" t="s">
        <v>76</v>
      </c>
      <c r="B404" s="30" t="s">
        <v>228</v>
      </c>
      <c r="C404" s="29">
        <v>86</v>
      </c>
      <c r="D404" s="29" t="s">
        <v>229</v>
      </c>
      <c r="E404" s="31" t="s">
        <v>230</v>
      </c>
      <c r="F404" s="29">
        <v>6139</v>
      </c>
      <c r="G404" s="29" t="s">
        <v>59</v>
      </c>
      <c r="H404" s="32">
        <v>46105</v>
      </c>
      <c r="I404" s="33">
        <v>46106</v>
      </c>
      <c r="J404" s="34" t="s">
        <v>99</v>
      </c>
      <c r="K404" s="35">
        <v>0.93554398148148143</v>
      </c>
      <c r="L404" s="35">
        <v>4.6990740740740743E-3</v>
      </c>
      <c r="M404" s="36">
        <v>0.31054398148148149</v>
      </c>
      <c r="N404" s="35">
        <v>0.37969907407407405</v>
      </c>
      <c r="O404" s="37">
        <f>IF(N404&gt;M404,N404-M404,(N404+1)-M404)</f>
        <v>6.915509259259256E-2</v>
      </c>
      <c r="P404" s="29" t="s">
        <v>232</v>
      </c>
      <c r="Q404" s="29" t="s">
        <v>59</v>
      </c>
      <c r="R404" s="29" t="s">
        <v>232</v>
      </c>
      <c r="S404" s="38" t="s">
        <v>48</v>
      </c>
      <c r="T404" s="39" t="s">
        <v>73</v>
      </c>
      <c r="U404" s="39" t="s">
        <v>59</v>
      </c>
      <c r="V404" s="38" t="s">
        <v>107</v>
      </c>
      <c r="W404" s="40" t="s">
        <v>59</v>
      </c>
      <c r="X404" s="13" t="s">
        <v>59</v>
      </c>
      <c r="Y404" s="13" t="s">
        <v>59</v>
      </c>
      <c r="Z404" s="13" t="s">
        <v>59</v>
      </c>
      <c r="AA404" s="13" t="s">
        <v>59</v>
      </c>
      <c r="AB404" s="41" t="s">
        <v>59</v>
      </c>
      <c r="AC404" s="16" t="s">
        <v>59</v>
      </c>
      <c r="AD404" s="42" t="s">
        <v>59</v>
      </c>
      <c r="AE404" s="42">
        <v>14</v>
      </c>
      <c r="AF404" s="42">
        <v>0.22</v>
      </c>
      <c r="AG404" s="43" t="s">
        <v>59</v>
      </c>
      <c r="AH404" s="43" t="s">
        <v>59</v>
      </c>
      <c r="AI404" s="43" t="s">
        <v>59</v>
      </c>
      <c r="AJ404" s="17" t="s">
        <v>59</v>
      </c>
      <c r="AK404" s="17" t="s">
        <v>59</v>
      </c>
      <c r="AL404" s="17" t="e">
        <v>#N/A</v>
      </c>
      <c r="AM404" s="17" t="s">
        <v>59</v>
      </c>
      <c r="AN404" s="17" t="s">
        <v>59</v>
      </c>
      <c r="AO404" s="44" t="s">
        <v>61</v>
      </c>
    </row>
    <row r="405" spans="1:41" ht="12" customHeight="1" x14ac:dyDescent="0.35">
      <c r="A405" s="29" t="s">
        <v>76</v>
      </c>
      <c r="B405" s="30" t="s">
        <v>228</v>
      </c>
      <c r="C405" s="29">
        <v>86</v>
      </c>
      <c r="D405" s="29" t="s">
        <v>229</v>
      </c>
      <c r="E405" s="31" t="s">
        <v>230</v>
      </c>
      <c r="F405" s="29">
        <v>6139</v>
      </c>
      <c r="G405" s="29" t="s">
        <v>59</v>
      </c>
      <c r="H405" s="32">
        <v>46106</v>
      </c>
      <c r="I405" s="33">
        <v>46106</v>
      </c>
      <c r="J405" s="34" t="s">
        <v>110</v>
      </c>
      <c r="K405" s="35">
        <v>0.11072916666666667</v>
      </c>
      <c r="L405" s="35">
        <v>0.19575231481481481</v>
      </c>
      <c r="M405" s="36">
        <v>0.48572916666666666</v>
      </c>
      <c r="N405" s="35">
        <v>0.57075231481481481</v>
      </c>
      <c r="O405" s="37">
        <f>IF(N405&gt;M405,N405-M405,(N405+1)-M405)</f>
        <v>8.5023148148148153E-2</v>
      </c>
      <c r="P405" s="29" t="s">
        <v>232</v>
      </c>
      <c r="Q405" s="29" t="s">
        <v>59</v>
      </c>
      <c r="R405" s="29" t="s">
        <v>232</v>
      </c>
      <c r="S405" s="38" t="s">
        <v>48</v>
      </c>
      <c r="T405" s="39" t="s">
        <v>73</v>
      </c>
      <c r="U405" s="39" t="s">
        <v>59</v>
      </c>
      <c r="V405" s="38" t="s">
        <v>107</v>
      </c>
      <c r="W405" s="40" t="s">
        <v>59</v>
      </c>
      <c r="X405" s="13" t="s">
        <v>59</v>
      </c>
      <c r="Y405" s="13" t="s">
        <v>59</v>
      </c>
      <c r="Z405" s="13" t="s">
        <v>59</v>
      </c>
      <c r="AA405" s="13" t="s">
        <v>59</v>
      </c>
      <c r="AB405" s="41" t="s">
        <v>59</v>
      </c>
      <c r="AC405" s="16" t="s">
        <v>59</v>
      </c>
      <c r="AD405" s="42" t="s">
        <v>59</v>
      </c>
      <c r="AE405" s="42">
        <v>5.5</v>
      </c>
      <c r="AF405" s="42">
        <v>0.12</v>
      </c>
      <c r="AG405" s="43" t="s">
        <v>59</v>
      </c>
      <c r="AH405" s="43" t="s">
        <v>59</v>
      </c>
      <c r="AI405" s="43" t="s">
        <v>59</v>
      </c>
      <c r="AJ405" s="17" t="s">
        <v>59</v>
      </c>
      <c r="AK405" s="17" t="s">
        <v>59</v>
      </c>
      <c r="AL405" s="17" t="e">
        <v>#N/A</v>
      </c>
      <c r="AM405" s="17" t="s">
        <v>59</v>
      </c>
      <c r="AN405" s="17" t="s">
        <v>59</v>
      </c>
      <c r="AO405" s="44" t="s">
        <v>61</v>
      </c>
    </row>
    <row r="406" spans="1:41" ht="12" customHeight="1" x14ac:dyDescent="0.35">
      <c r="A406" s="29" t="s">
        <v>76</v>
      </c>
      <c r="B406" s="30" t="s">
        <v>228</v>
      </c>
      <c r="C406" s="29">
        <v>86</v>
      </c>
      <c r="D406" s="29" t="s">
        <v>229</v>
      </c>
      <c r="E406" s="31" t="s">
        <v>230</v>
      </c>
      <c r="F406" s="29">
        <v>6139</v>
      </c>
      <c r="G406" s="29" t="s">
        <v>59</v>
      </c>
      <c r="H406" s="32">
        <v>46106</v>
      </c>
      <c r="I406" s="33">
        <v>46106</v>
      </c>
      <c r="J406" s="34" t="s">
        <v>110</v>
      </c>
      <c r="K406" s="35">
        <v>0.5056018518518518</v>
      </c>
      <c r="L406" s="35">
        <v>0.55388888888888888</v>
      </c>
      <c r="M406" s="36">
        <v>0.8806018518518518</v>
      </c>
      <c r="N406" s="35">
        <v>0.92888888888888888</v>
      </c>
      <c r="O406" s="37">
        <f>IF(N406&gt;M406,N406-M406,(N406+1)-M406)</f>
        <v>4.8287037037037073E-2</v>
      </c>
      <c r="P406" s="29" t="s">
        <v>232</v>
      </c>
      <c r="Q406" s="29" t="s">
        <v>59</v>
      </c>
      <c r="R406" s="29" t="s">
        <v>232</v>
      </c>
      <c r="S406" s="38" t="s">
        <v>48</v>
      </c>
      <c r="T406" s="39" t="s">
        <v>73</v>
      </c>
      <c r="U406" s="39" t="s">
        <v>59</v>
      </c>
      <c r="V406" s="38" t="s">
        <v>107</v>
      </c>
      <c r="W406" s="40" t="s">
        <v>59</v>
      </c>
      <c r="X406" s="13" t="s">
        <v>59</v>
      </c>
      <c r="Y406" s="13" t="s">
        <v>59</v>
      </c>
      <c r="Z406" s="13" t="s">
        <v>59</v>
      </c>
      <c r="AA406" s="13" t="s">
        <v>59</v>
      </c>
      <c r="AB406" s="41" t="s">
        <v>59</v>
      </c>
      <c r="AC406" s="16" t="s">
        <v>59</v>
      </c>
      <c r="AD406" s="42" t="s">
        <v>59</v>
      </c>
      <c r="AE406" s="42">
        <v>13.6</v>
      </c>
      <c r="AF406" s="42">
        <v>0.1</v>
      </c>
      <c r="AG406" s="43" t="s">
        <v>59</v>
      </c>
      <c r="AH406" s="43" t="s">
        <v>59</v>
      </c>
      <c r="AI406" s="43" t="s">
        <v>59</v>
      </c>
      <c r="AJ406" s="17" t="s">
        <v>59</v>
      </c>
      <c r="AK406" s="17" t="s">
        <v>59</v>
      </c>
      <c r="AL406" s="17" t="e">
        <v>#N/A</v>
      </c>
      <c r="AM406" s="17" t="s">
        <v>59</v>
      </c>
      <c r="AN406" s="17" t="s">
        <v>59</v>
      </c>
      <c r="AO406" s="44" t="s">
        <v>61</v>
      </c>
    </row>
    <row r="407" spans="1:41" ht="12" customHeight="1" x14ac:dyDescent="0.35">
      <c r="A407" s="29" t="s">
        <v>76</v>
      </c>
      <c r="B407" s="30" t="s">
        <v>228</v>
      </c>
      <c r="C407" s="29">
        <v>86</v>
      </c>
      <c r="D407" s="29" t="s">
        <v>229</v>
      </c>
      <c r="E407" s="31" t="s">
        <v>230</v>
      </c>
      <c r="F407" s="29">
        <v>6139</v>
      </c>
      <c r="G407" s="29" t="s">
        <v>59</v>
      </c>
      <c r="H407" s="32">
        <v>46106</v>
      </c>
      <c r="I407" s="33">
        <v>46107</v>
      </c>
      <c r="J407" s="34" t="s">
        <v>110</v>
      </c>
      <c r="K407" s="35">
        <v>0.76534722222222218</v>
      </c>
      <c r="L407" s="35">
        <v>0.82929398148148148</v>
      </c>
      <c r="M407" s="36">
        <v>0.14034722222222223</v>
      </c>
      <c r="N407" s="35">
        <v>0.20429398148148148</v>
      </c>
      <c r="O407" s="37">
        <f>IF(N407&gt;M407,N407-M407,(N407+1)-M407)</f>
        <v>6.3946759259259245E-2</v>
      </c>
      <c r="P407" s="29" t="s">
        <v>232</v>
      </c>
      <c r="Q407" s="29" t="s">
        <v>59</v>
      </c>
      <c r="R407" s="29" t="s">
        <v>232</v>
      </c>
      <c r="S407" s="38" t="s">
        <v>48</v>
      </c>
      <c r="T407" s="39" t="s">
        <v>73</v>
      </c>
      <c r="U407" s="39" t="s">
        <v>59</v>
      </c>
      <c r="V407" s="38" t="s">
        <v>107</v>
      </c>
      <c r="W407" s="40" t="s">
        <v>59</v>
      </c>
      <c r="X407" s="13" t="s">
        <v>59</v>
      </c>
      <c r="Y407" s="13" t="s">
        <v>59</v>
      </c>
      <c r="Z407" s="13" t="s">
        <v>59</v>
      </c>
      <c r="AA407" s="13" t="s">
        <v>59</v>
      </c>
      <c r="AB407" s="41" t="s">
        <v>59</v>
      </c>
      <c r="AC407" s="16" t="s">
        <v>59</v>
      </c>
      <c r="AD407" s="42" t="s">
        <v>59</v>
      </c>
      <c r="AE407" s="42">
        <v>0.4</v>
      </c>
      <c r="AF407" s="42">
        <v>0.03</v>
      </c>
      <c r="AG407" s="43" t="s">
        <v>59</v>
      </c>
      <c r="AH407" s="43" t="s">
        <v>59</v>
      </c>
      <c r="AI407" s="43" t="s">
        <v>59</v>
      </c>
      <c r="AJ407" s="17" t="s">
        <v>59</v>
      </c>
      <c r="AK407" s="17" t="s">
        <v>59</v>
      </c>
      <c r="AL407" s="17" t="e">
        <v>#N/A</v>
      </c>
      <c r="AM407" s="17" t="s">
        <v>59</v>
      </c>
      <c r="AN407" s="17" t="s">
        <v>59</v>
      </c>
      <c r="AO407" s="44" t="s">
        <v>61</v>
      </c>
    </row>
    <row r="408" spans="1:41" ht="12" customHeight="1" x14ac:dyDescent="0.35">
      <c r="A408" s="29" t="s">
        <v>68</v>
      </c>
      <c r="B408" s="30" t="s">
        <v>331</v>
      </c>
      <c r="C408" s="29">
        <v>110</v>
      </c>
      <c r="D408" s="29" t="s">
        <v>69</v>
      </c>
      <c r="E408" s="31" t="s">
        <v>332</v>
      </c>
      <c r="F408" s="29">
        <v>6569</v>
      </c>
      <c r="G408" s="29" t="s">
        <v>59</v>
      </c>
      <c r="H408" s="32">
        <v>46102</v>
      </c>
      <c r="I408" s="33">
        <v>46102</v>
      </c>
      <c r="J408" s="34" t="s">
        <v>71</v>
      </c>
      <c r="K408" s="35">
        <v>0.14583333333333334</v>
      </c>
      <c r="L408" s="35">
        <v>0.24305555555555555</v>
      </c>
      <c r="M408" s="36">
        <v>2.0833333333333332E-2</v>
      </c>
      <c r="N408" s="35">
        <v>0.11805555555555555</v>
      </c>
      <c r="O408" s="37">
        <f>IF(N408&gt;M408,N408-M408,(N408+1)-M408)</f>
        <v>9.7222222222222224E-2</v>
      </c>
      <c r="P408" s="29" t="s">
        <v>333</v>
      </c>
      <c r="Q408" s="29" t="s">
        <v>334</v>
      </c>
      <c r="R408" s="29" t="s">
        <v>335</v>
      </c>
      <c r="S408" s="38" t="s">
        <v>48</v>
      </c>
      <c r="T408" s="39" t="s">
        <v>73</v>
      </c>
      <c r="U408" s="39" t="s">
        <v>59</v>
      </c>
      <c r="V408" s="38" t="s">
        <v>100</v>
      </c>
      <c r="W408" s="40" t="s">
        <v>59</v>
      </c>
      <c r="X408" s="13" t="s">
        <v>59</v>
      </c>
      <c r="Y408" s="13" t="s">
        <v>59</v>
      </c>
      <c r="Z408" s="13" t="s">
        <v>59</v>
      </c>
      <c r="AA408" s="13" t="s">
        <v>59</v>
      </c>
      <c r="AB408" s="41" t="s">
        <v>59</v>
      </c>
      <c r="AC408" s="16" t="e">
        <v>#VALUE!</v>
      </c>
      <c r="AD408" s="42" t="s">
        <v>59</v>
      </c>
      <c r="AE408" s="42" t="s">
        <v>59</v>
      </c>
      <c r="AF408" s="42" t="s">
        <v>59</v>
      </c>
      <c r="AG408" s="43" t="s">
        <v>59</v>
      </c>
      <c r="AH408" s="43" t="s">
        <v>59</v>
      </c>
      <c r="AI408" s="43" t="s">
        <v>59</v>
      </c>
      <c r="AJ408" s="17" t="s">
        <v>59</v>
      </c>
      <c r="AK408" s="17" t="s">
        <v>59</v>
      </c>
      <c r="AL408" s="17">
        <v>3</v>
      </c>
      <c r="AM408" s="17" t="s">
        <v>59</v>
      </c>
      <c r="AN408" s="17" t="s">
        <v>59</v>
      </c>
      <c r="AO408" s="44" t="s">
        <v>278</v>
      </c>
    </row>
    <row r="409" spans="1:41" ht="12" customHeight="1" x14ac:dyDescent="0.35">
      <c r="A409" s="29" t="s">
        <v>68</v>
      </c>
      <c r="B409" s="30" t="s">
        <v>331</v>
      </c>
      <c r="C409" s="29">
        <v>110</v>
      </c>
      <c r="D409" s="29" t="s">
        <v>69</v>
      </c>
      <c r="E409" s="31" t="s">
        <v>332</v>
      </c>
      <c r="F409" s="29">
        <v>6569</v>
      </c>
      <c r="G409" s="29" t="s">
        <v>59</v>
      </c>
      <c r="H409" s="32">
        <v>46103</v>
      </c>
      <c r="I409" s="33">
        <v>46103</v>
      </c>
      <c r="J409" s="34" t="s">
        <v>74</v>
      </c>
      <c r="K409" s="35">
        <v>0.1875</v>
      </c>
      <c r="L409" s="35">
        <v>0.27083333333333331</v>
      </c>
      <c r="M409" s="36">
        <v>6.25E-2</v>
      </c>
      <c r="N409" s="35">
        <v>0.14583333333333334</v>
      </c>
      <c r="O409" s="37">
        <f>IF(N409&gt;M409,N409-M409,(N409+1)-M409)</f>
        <v>8.3333333333333343E-2</v>
      </c>
      <c r="P409" s="29" t="s">
        <v>336</v>
      </c>
      <c r="Q409" s="29" t="s">
        <v>334</v>
      </c>
      <c r="R409" s="29" t="s">
        <v>337</v>
      </c>
      <c r="S409" s="38" t="s">
        <v>48</v>
      </c>
      <c r="T409" s="39" t="s">
        <v>73</v>
      </c>
      <c r="U409" s="39" t="s">
        <v>59</v>
      </c>
      <c r="V409" s="38" t="s">
        <v>104</v>
      </c>
      <c r="W409" s="40" t="s">
        <v>59</v>
      </c>
      <c r="X409" s="13" t="s">
        <v>59</v>
      </c>
      <c r="Y409" s="13" t="s">
        <v>59</v>
      </c>
      <c r="Z409" s="13" t="s">
        <v>59</v>
      </c>
      <c r="AA409" s="13" t="s">
        <v>59</v>
      </c>
      <c r="AB409" s="41" t="s">
        <v>59</v>
      </c>
      <c r="AC409" s="16" t="e">
        <v>#VALUE!</v>
      </c>
      <c r="AD409" s="42" t="s">
        <v>59</v>
      </c>
      <c r="AE409" s="42" t="s">
        <v>59</v>
      </c>
      <c r="AF409" s="42" t="s">
        <v>59</v>
      </c>
      <c r="AG409" s="43" t="s">
        <v>59</v>
      </c>
      <c r="AH409" s="43" t="s">
        <v>59</v>
      </c>
      <c r="AI409" s="43" t="s">
        <v>59</v>
      </c>
      <c r="AJ409" s="17" t="s">
        <v>59</v>
      </c>
      <c r="AK409" s="17" t="s">
        <v>59</v>
      </c>
      <c r="AL409" s="17">
        <v>3</v>
      </c>
      <c r="AM409" s="17" t="s">
        <v>59</v>
      </c>
      <c r="AN409" s="17" t="s">
        <v>59</v>
      </c>
      <c r="AO409" s="44" t="s">
        <v>278</v>
      </c>
    </row>
    <row r="410" spans="1:41" ht="12" customHeight="1" x14ac:dyDescent="0.35">
      <c r="A410" s="29" t="s">
        <v>68</v>
      </c>
      <c r="B410" s="30" t="s">
        <v>331</v>
      </c>
      <c r="C410" s="29">
        <v>110</v>
      </c>
      <c r="D410" s="29" t="s">
        <v>69</v>
      </c>
      <c r="E410" s="31" t="s">
        <v>332</v>
      </c>
      <c r="F410" s="29">
        <v>6569</v>
      </c>
      <c r="G410" s="29" t="s">
        <v>59</v>
      </c>
      <c r="H410" s="32">
        <v>46103</v>
      </c>
      <c r="I410" s="33">
        <v>46103</v>
      </c>
      <c r="J410" s="34" t="s">
        <v>74</v>
      </c>
      <c r="K410" s="35">
        <v>0.8125</v>
      </c>
      <c r="L410" s="35">
        <v>0.85416666666666663</v>
      </c>
      <c r="M410" s="36">
        <v>0.6875</v>
      </c>
      <c r="N410" s="35">
        <v>0.72916666666666663</v>
      </c>
      <c r="O410" s="37">
        <f>IF(N410&gt;M410,N410-M410,(N410+1)-M410)</f>
        <v>4.166666666666663E-2</v>
      </c>
      <c r="P410" s="29" t="s">
        <v>338</v>
      </c>
      <c r="Q410" s="29" t="s">
        <v>334</v>
      </c>
      <c r="R410" s="29" t="s">
        <v>339</v>
      </c>
      <c r="S410" s="38" t="s">
        <v>46</v>
      </c>
      <c r="T410" s="39" t="s">
        <v>73</v>
      </c>
      <c r="U410" s="39" t="s">
        <v>59</v>
      </c>
      <c r="V410" s="38" t="s">
        <v>107</v>
      </c>
      <c r="W410" s="40" t="s">
        <v>59</v>
      </c>
      <c r="X410" s="13" t="s">
        <v>59</v>
      </c>
      <c r="Y410" s="13" t="s">
        <v>59</v>
      </c>
      <c r="Z410" s="13" t="s">
        <v>59</v>
      </c>
      <c r="AA410" s="13" t="s">
        <v>59</v>
      </c>
      <c r="AB410" s="41" t="s">
        <v>59</v>
      </c>
      <c r="AC410" s="16" t="e">
        <v>#VALUE!</v>
      </c>
      <c r="AD410" s="42" t="s">
        <v>59</v>
      </c>
      <c r="AE410" s="42" t="s">
        <v>59</v>
      </c>
      <c r="AF410" s="42" t="s">
        <v>59</v>
      </c>
      <c r="AG410" s="43" t="s">
        <v>59</v>
      </c>
      <c r="AH410" s="43" t="s">
        <v>59</v>
      </c>
      <c r="AI410" s="43" t="s">
        <v>59</v>
      </c>
      <c r="AJ410" s="17" t="s">
        <v>59</v>
      </c>
      <c r="AK410" s="17" t="s">
        <v>59</v>
      </c>
      <c r="AL410" s="17">
        <v>7.2</v>
      </c>
      <c r="AM410" s="17" t="s">
        <v>59</v>
      </c>
      <c r="AN410" s="17" t="s">
        <v>59</v>
      </c>
      <c r="AO410" s="44" t="s">
        <v>278</v>
      </c>
    </row>
    <row r="411" spans="1:41" ht="12" customHeight="1" x14ac:dyDescent="0.35">
      <c r="A411" s="29" t="s">
        <v>96</v>
      </c>
      <c r="B411" s="30" t="s">
        <v>355</v>
      </c>
      <c r="C411" s="29">
        <v>32</v>
      </c>
      <c r="D411" s="29" t="s">
        <v>356</v>
      </c>
      <c r="E411" s="31" t="s">
        <v>357</v>
      </c>
      <c r="F411" s="29">
        <v>39031</v>
      </c>
      <c r="G411" s="29" t="s">
        <v>59</v>
      </c>
      <c r="H411" s="32">
        <v>46104</v>
      </c>
      <c r="I411" s="33">
        <v>46104</v>
      </c>
      <c r="J411" s="34" t="s">
        <v>67</v>
      </c>
      <c r="K411" s="35">
        <v>0.34027777777777779</v>
      </c>
      <c r="L411" s="35">
        <v>0.44444444444444442</v>
      </c>
      <c r="M411" s="36">
        <v>0.38194444444444442</v>
      </c>
      <c r="N411" s="35">
        <v>0.4861111111111111</v>
      </c>
      <c r="O411" s="37">
        <f>IF(N411&gt;M411,N411-M411,(N411+1)-M411)</f>
        <v>0.10416666666666669</v>
      </c>
      <c r="P411" s="29" t="s">
        <v>358</v>
      </c>
      <c r="Q411" s="29" t="s">
        <v>360</v>
      </c>
      <c r="R411" s="29" t="s">
        <v>361</v>
      </c>
      <c r="S411" s="38" t="s">
        <v>48</v>
      </c>
      <c r="T411" s="39" t="s">
        <v>73</v>
      </c>
      <c r="U411" s="39" t="s">
        <v>59</v>
      </c>
      <c r="V411" s="38" t="s">
        <v>107</v>
      </c>
      <c r="W411" s="40" t="s">
        <v>59</v>
      </c>
      <c r="X411" s="13" t="s">
        <v>59</v>
      </c>
      <c r="Y411" s="13" t="s">
        <v>59</v>
      </c>
      <c r="Z411" s="13" t="s">
        <v>59</v>
      </c>
      <c r="AA411" s="13" t="s">
        <v>59</v>
      </c>
      <c r="AB411" s="41" t="s">
        <v>59</v>
      </c>
      <c r="AC411" s="16" t="e">
        <v>#VALUE!</v>
      </c>
      <c r="AD411" s="42" t="s">
        <v>59</v>
      </c>
      <c r="AE411" s="42" t="s">
        <v>59</v>
      </c>
      <c r="AF411" s="42" t="s">
        <v>59</v>
      </c>
      <c r="AG411" s="43" t="s">
        <v>59</v>
      </c>
      <c r="AH411" s="43" t="s">
        <v>59</v>
      </c>
      <c r="AI411" s="43" t="s">
        <v>59</v>
      </c>
      <c r="AJ411" s="17" t="s">
        <v>59</v>
      </c>
      <c r="AK411" s="17" t="s">
        <v>59</v>
      </c>
      <c r="AL411" s="17">
        <v>36.291666666666664</v>
      </c>
      <c r="AM411" s="17" t="s">
        <v>59</v>
      </c>
      <c r="AN411" s="17" t="s">
        <v>59</v>
      </c>
      <c r="AO411" s="44" t="s">
        <v>278</v>
      </c>
    </row>
    <row r="412" spans="1:41" ht="12" customHeight="1" x14ac:dyDescent="0.35">
      <c r="A412" s="29" t="s">
        <v>96</v>
      </c>
      <c r="B412" s="30" t="s">
        <v>355</v>
      </c>
      <c r="C412" s="29">
        <v>32</v>
      </c>
      <c r="D412" s="29" t="s">
        <v>356</v>
      </c>
      <c r="E412" s="31" t="s">
        <v>357</v>
      </c>
      <c r="F412" s="29">
        <v>39031</v>
      </c>
      <c r="G412" s="29" t="s">
        <v>59</v>
      </c>
      <c r="H412" s="32">
        <v>46105</v>
      </c>
      <c r="I412" s="33">
        <v>46105</v>
      </c>
      <c r="J412" s="34" t="s">
        <v>99</v>
      </c>
      <c r="K412" s="35">
        <v>0.2951388888888889</v>
      </c>
      <c r="L412" s="35">
        <v>0.38194444444444442</v>
      </c>
      <c r="M412" s="36">
        <v>0.33680555555555558</v>
      </c>
      <c r="N412" s="35">
        <v>0.4236111111111111</v>
      </c>
      <c r="O412" s="37">
        <f>IF(N412&gt;M412,N412-M412,(N412+1)-M412)</f>
        <v>8.6805555555555525E-2</v>
      </c>
      <c r="P412" s="29" t="s">
        <v>358</v>
      </c>
      <c r="Q412" s="29" t="s">
        <v>362</v>
      </c>
      <c r="R412" s="29" t="s">
        <v>363</v>
      </c>
      <c r="S412" s="38" t="s">
        <v>48</v>
      </c>
      <c r="T412" s="39" t="s">
        <v>73</v>
      </c>
      <c r="U412" s="39" t="s">
        <v>59</v>
      </c>
      <c r="V412" s="38" t="s">
        <v>107</v>
      </c>
      <c r="W412" s="40" t="s">
        <v>59</v>
      </c>
      <c r="X412" s="13" t="s">
        <v>59</v>
      </c>
      <c r="Y412" s="13" t="s">
        <v>59</v>
      </c>
      <c r="Z412" s="13" t="s">
        <v>59</v>
      </c>
      <c r="AA412" s="13" t="s">
        <v>59</v>
      </c>
      <c r="AB412" s="41" t="s">
        <v>59</v>
      </c>
      <c r="AC412" s="16" t="e">
        <v>#VALUE!</v>
      </c>
      <c r="AD412" s="42" t="s">
        <v>59</v>
      </c>
      <c r="AE412" s="42" t="s">
        <v>59</v>
      </c>
      <c r="AF412" s="42" t="s">
        <v>59</v>
      </c>
      <c r="AG412" s="43" t="s">
        <v>59</v>
      </c>
      <c r="AH412" s="43" t="s">
        <v>59</v>
      </c>
      <c r="AI412" s="43" t="s">
        <v>59</v>
      </c>
      <c r="AJ412" s="17" t="s">
        <v>59</v>
      </c>
      <c r="AK412" s="17" t="s">
        <v>59</v>
      </c>
      <c r="AL412" s="17">
        <v>36.291666666666664</v>
      </c>
      <c r="AM412" s="17" t="s">
        <v>59</v>
      </c>
      <c r="AN412" s="17" t="s">
        <v>59</v>
      </c>
      <c r="AO412" s="44" t="s">
        <v>278</v>
      </c>
    </row>
    <row r="413" spans="1:41" ht="12" customHeight="1" x14ac:dyDescent="0.35">
      <c r="A413" s="29" t="s">
        <v>96</v>
      </c>
      <c r="B413" s="30" t="s">
        <v>355</v>
      </c>
      <c r="C413" s="29">
        <v>32</v>
      </c>
      <c r="D413" s="29" t="s">
        <v>356</v>
      </c>
      <c r="E413" s="31" t="s">
        <v>357</v>
      </c>
      <c r="F413" s="29">
        <v>39031</v>
      </c>
      <c r="G413" s="29" t="s">
        <v>59</v>
      </c>
      <c r="H413" s="32">
        <v>46106</v>
      </c>
      <c r="I413" s="33">
        <v>46106</v>
      </c>
      <c r="J413" s="34" t="s">
        <v>110</v>
      </c>
      <c r="K413" s="35">
        <v>0.33680555555555558</v>
      </c>
      <c r="L413" s="35">
        <v>0.4201388888888889</v>
      </c>
      <c r="M413" s="36">
        <v>0.37847222222222221</v>
      </c>
      <c r="N413" s="35">
        <v>0.46180555555555558</v>
      </c>
      <c r="O413" s="37">
        <f>IF(N413&gt;M413,N413-M413,(N413+1)-M413)</f>
        <v>8.333333333333337E-2</v>
      </c>
      <c r="P413" s="29" t="s">
        <v>359</v>
      </c>
      <c r="Q413" s="29" t="s">
        <v>59</v>
      </c>
      <c r="R413" s="29" t="s">
        <v>359</v>
      </c>
      <c r="S413" s="38" t="s">
        <v>48</v>
      </c>
      <c r="T413" s="39" t="s">
        <v>73</v>
      </c>
      <c r="U413" s="39" t="s">
        <v>59</v>
      </c>
      <c r="V413" s="38" t="s">
        <v>107</v>
      </c>
      <c r="W413" s="40" t="s">
        <v>59</v>
      </c>
      <c r="X413" s="13" t="s">
        <v>59</v>
      </c>
      <c r="Y413" s="13" t="s">
        <v>59</v>
      </c>
      <c r="Z413" s="13" t="s">
        <v>59</v>
      </c>
      <c r="AA413" s="13" t="s">
        <v>59</v>
      </c>
      <c r="AB413" s="41" t="s">
        <v>59</v>
      </c>
      <c r="AC413" s="16" t="e">
        <v>#VALUE!</v>
      </c>
      <c r="AD413" s="42" t="s">
        <v>59</v>
      </c>
      <c r="AE413" s="42" t="s">
        <v>59</v>
      </c>
      <c r="AF413" s="42" t="s">
        <v>59</v>
      </c>
      <c r="AG413" s="43" t="s">
        <v>59</v>
      </c>
      <c r="AH413" s="43" t="s">
        <v>59</v>
      </c>
      <c r="AI413" s="43" t="s">
        <v>59</v>
      </c>
      <c r="AJ413" s="17" t="s">
        <v>59</v>
      </c>
      <c r="AK413" s="17" t="s">
        <v>59</v>
      </c>
      <c r="AL413" s="17">
        <v>36.291666666666664</v>
      </c>
      <c r="AM413" s="17" t="s">
        <v>59</v>
      </c>
      <c r="AN413" s="17" t="s">
        <v>59</v>
      </c>
      <c r="AO413" s="44" t="s">
        <v>278</v>
      </c>
    </row>
    <row r="414" spans="1:41" ht="12" customHeight="1" x14ac:dyDescent="0.35">
      <c r="A414" s="29" t="s">
        <v>96</v>
      </c>
      <c r="B414" s="30" t="s">
        <v>355</v>
      </c>
      <c r="C414" s="29">
        <v>32</v>
      </c>
      <c r="D414" s="29" t="s">
        <v>356</v>
      </c>
      <c r="E414" s="31" t="s">
        <v>357</v>
      </c>
      <c r="F414" s="29">
        <v>39031</v>
      </c>
      <c r="G414" s="29" t="s">
        <v>59</v>
      </c>
      <c r="H414" s="32">
        <v>46102</v>
      </c>
      <c r="I414" s="33">
        <v>46102</v>
      </c>
      <c r="J414" s="34" t="s">
        <v>71</v>
      </c>
      <c r="K414" s="35">
        <v>0.25347222222222221</v>
      </c>
      <c r="L414" s="35">
        <v>0.34027777777777779</v>
      </c>
      <c r="M414" s="36">
        <v>0.2951388888888889</v>
      </c>
      <c r="N414" s="35">
        <v>0.38194444444444442</v>
      </c>
      <c r="O414" s="37">
        <f>IF(N414&gt;M414,N414-M414,(N414+1)-M414)</f>
        <v>8.6805555555555525E-2</v>
      </c>
      <c r="P414" s="29" t="s">
        <v>359</v>
      </c>
      <c r="Q414" s="29" t="s">
        <v>59</v>
      </c>
      <c r="R414" s="29" t="s">
        <v>359</v>
      </c>
      <c r="S414" s="38" t="s">
        <v>48</v>
      </c>
      <c r="T414" s="39" t="s">
        <v>73</v>
      </c>
      <c r="U414" s="39" t="s">
        <v>59</v>
      </c>
      <c r="V414" s="38" t="s">
        <v>100</v>
      </c>
      <c r="W414" s="40" t="s">
        <v>59</v>
      </c>
      <c r="X414" s="13" t="s">
        <v>59</v>
      </c>
      <c r="Y414" s="13" t="s">
        <v>59</v>
      </c>
      <c r="Z414" s="13" t="s">
        <v>59</v>
      </c>
      <c r="AA414" s="13" t="s">
        <v>59</v>
      </c>
      <c r="AB414" s="41" t="s">
        <v>59</v>
      </c>
      <c r="AC414" s="16" t="e">
        <v>#VALUE!</v>
      </c>
      <c r="AD414" s="42" t="s">
        <v>59</v>
      </c>
      <c r="AE414" s="42" t="s">
        <v>59</v>
      </c>
      <c r="AF414" s="42" t="s">
        <v>59</v>
      </c>
      <c r="AG414" s="43" t="s">
        <v>59</v>
      </c>
      <c r="AH414" s="43" t="s">
        <v>59</v>
      </c>
      <c r="AI414" s="43" t="s">
        <v>59</v>
      </c>
      <c r="AJ414" s="17" t="s">
        <v>59</v>
      </c>
      <c r="AK414" s="17" t="s">
        <v>59</v>
      </c>
      <c r="AL414" s="17">
        <v>43.55</v>
      </c>
      <c r="AM414" s="17" t="s">
        <v>59</v>
      </c>
      <c r="AN414" s="17" t="s">
        <v>59</v>
      </c>
      <c r="AO414" s="44" t="s">
        <v>278</v>
      </c>
    </row>
    <row r="415" spans="1:41" ht="12" customHeight="1" x14ac:dyDescent="0.35">
      <c r="A415" s="29" t="s">
        <v>96</v>
      </c>
      <c r="B415" s="30" t="s">
        <v>355</v>
      </c>
      <c r="C415" s="29">
        <v>32</v>
      </c>
      <c r="D415" s="29" t="s">
        <v>356</v>
      </c>
      <c r="E415" s="31" t="s">
        <v>357</v>
      </c>
      <c r="F415" s="29">
        <v>39031</v>
      </c>
      <c r="G415" s="29" t="s">
        <v>59</v>
      </c>
      <c r="H415" s="32">
        <v>46103</v>
      </c>
      <c r="I415" s="33">
        <v>46103</v>
      </c>
      <c r="J415" s="34" t="s">
        <v>74</v>
      </c>
      <c r="K415" s="35">
        <v>0.28819444444444442</v>
      </c>
      <c r="L415" s="35">
        <v>0.375</v>
      </c>
      <c r="M415" s="36">
        <v>0.3298611111111111</v>
      </c>
      <c r="N415" s="35">
        <v>0.41666666666666669</v>
      </c>
      <c r="O415" s="37">
        <f>IF(N415&gt;M415,N415-M415,(N415+1)-M415)</f>
        <v>8.680555555555558E-2</v>
      </c>
      <c r="P415" s="29" t="s">
        <v>359</v>
      </c>
      <c r="Q415" s="29" t="s">
        <v>59</v>
      </c>
      <c r="R415" s="29" t="s">
        <v>359</v>
      </c>
      <c r="S415" s="38" t="s">
        <v>48</v>
      </c>
      <c r="T415" s="39" t="s">
        <v>73</v>
      </c>
      <c r="U415" s="39" t="s">
        <v>59</v>
      </c>
      <c r="V415" s="38" t="s">
        <v>104</v>
      </c>
      <c r="W415" s="40" t="s">
        <v>59</v>
      </c>
      <c r="X415" s="13" t="s">
        <v>59</v>
      </c>
      <c r="Y415" s="13" t="s">
        <v>59</v>
      </c>
      <c r="Z415" s="13" t="s">
        <v>59</v>
      </c>
      <c r="AA415" s="13" t="s">
        <v>59</v>
      </c>
      <c r="AB415" s="41" t="s">
        <v>59</v>
      </c>
      <c r="AC415" s="16" t="e">
        <v>#VALUE!</v>
      </c>
      <c r="AD415" s="42" t="s">
        <v>59</v>
      </c>
      <c r="AE415" s="42" t="s">
        <v>59</v>
      </c>
      <c r="AF415" s="42" t="s">
        <v>59</v>
      </c>
      <c r="AG415" s="43" t="s">
        <v>59</v>
      </c>
      <c r="AH415" s="43" t="s">
        <v>59</v>
      </c>
      <c r="AI415" s="43" t="s">
        <v>59</v>
      </c>
      <c r="AJ415" s="17" t="s">
        <v>59</v>
      </c>
      <c r="AK415" s="17" t="s">
        <v>59</v>
      </c>
      <c r="AL415" s="17">
        <v>43.55</v>
      </c>
      <c r="AM415" s="17" t="s">
        <v>59</v>
      </c>
      <c r="AN415" s="17" t="s">
        <v>59</v>
      </c>
      <c r="AO415" s="44" t="s">
        <v>278</v>
      </c>
    </row>
    <row r="416" spans="1:41" ht="12" customHeight="1" x14ac:dyDescent="0.35">
      <c r="A416" s="29" t="s">
        <v>96</v>
      </c>
      <c r="B416" s="30" t="s">
        <v>355</v>
      </c>
      <c r="C416" s="29">
        <v>32</v>
      </c>
      <c r="D416" s="29" t="s">
        <v>356</v>
      </c>
      <c r="E416" s="31" t="s">
        <v>357</v>
      </c>
      <c r="F416" s="29">
        <v>39031</v>
      </c>
      <c r="G416" s="29" t="s">
        <v>59</v>
      </c>
      <c r="H416" s="32">
        <v>46104</v>
      </c>
      <c r="I416" s="33">
        <v>46104</v>
      </c>
      <c r="J416" s="34" t="s">
        <v>67</v>
      </c>
      <c r="K416" s="35">
        <v>0.89236111111111116</v>
      </c>
      <c r="L416" s="35">
        <v>0.97569444444444442</v>
      </c>
      <c r="M416" s="36">
        <v>0.93402777777777779</v>
      </c>
      <c r="N416" s="35">
        <v>1.7361111111111112E-2</v>
      </c>
      <c r="O416" s="37">
        <f>IF(N416&gt;M416,N416-M416,(N416+1)-M416)</f>
        <v>8.333333333333337E-2</v>
      </c>
      <c r="P416" s="29" t="s">
        <v>358</v>
      </c>
      <c r="Q416" s="29" t="s">
        <v>362</v>
      </c>
      <c r="R416" s="29" t="s">
        <v>363</v>
      </c>
      <c r="S416" s="38" t="s">
        <v>48</v>
      </c>
      <c r="T416" s="39" t="s">
        <v>73</v>
      </c>
      <c r="U416" s="39" t="s">
        <v>59</v>
      </c>
      <c r="V416" s="38" t="s">
        <v>107</v>
      </c>
      <c r="W416" s="40" t="s">
        <v>59</v>
      </c>
      <c r="X416" s="13" t="s">
        <v>59</v>
      </c>
      <c r="Y416" s="13" t="s">
        <v>59</v>
      </c>
      <c r="Z416" s="13" t="s">
        <v>59</v>
      </c>
      <c r="AA416" s="13" t="s">
        <v>59</v>
      </c>
      <c r="AB416" s="41" t="s">
        <v>59</v>
      </c>
      <c r="AC416" s="16" t="e">
        <v>#VALUE!</v>
      </c>
      <c r="AD416" s="42" t="s">
        <v>59</v>
      </c>
      <c r="AE416" s="42" t="s">
        <v>59</v>
      </c>
      <c r="AF416" s="42" t="s">
        <v>59</v>
      </c>
      <c r="AG416" s="43" t="s">
        <v>59</v>
      </c>
      <c r="AH416" s="43" t="s">
        <v>59</v>
      </c>
      <c r="AI416" s="43" t="s">
        <v>59</v>
      </c>
      <c r="AJ416" s="17" t="s">
        <v>59</v>
      </c>
      <c r="AK416" s="17" t="s">
        <v>59</v>
      </c>
      <c r="AL416" s="17">
        <v>72.583333333333329</v>
      </c>
      <c r="AM416" s="17" t="s">
        <v>59</v>
      </c>
      <c r="AN416" s="17" t="s">
        <v>59</v>
      </c>
      <c r="AO416" s="44" t="s">
        <v>278</v>
      </c>
    </row>
    <row r="417" spans="1:41" ht="12" customHeight="1" x14ac:dyDescent="0.35">
      <c r="A417" s="29" t="s">
        <v>96</v>
      </c>
      <c r="B417" s="30" t="s">
        <v>355</v>
      </c>
      <c r="C417" s="29">
        <v>32</v>
      </c>
      <c r="D417" s="29" t="s">
        <v>356</v>
      </c>
      <c r="E417" s="31" t="s">
        <v>357</v>
      </c>
      <c r="F417" s="29">
        <v>39031</v>
      </c>
      <c r="G417" s="29" t="s">
        <v>59</v>
      </c>
      <c r="H417" s="32">
        <v>46105</v>
      </c>
      <c r="I417" s="33">
        <v>46105</v>
      </c>
      <c r="J417" s="34" t="s">
        <v>99</v>
      </c>
      <c r="K417" s="35">
        <v>0.95486111111111116</v>
      </c>
      <c r="L417" s="35">
        <v>3.4722222222222224E-2</v>
      </c>
      <c r="M417" s="36">
        <v>0.99652777777777779</v>
      </c>
      <c r="N417" s="35">
        <v>7.6388888888888895E-2</v>
      </c>
      <c r="O417" s="37">
        <f>IF(N417&gt;M417,N417-M417,(N417+1)-M417)</f>
        <v>7.9861111111111049E-2</v>
      </c>
      <c r="P417" s="29" t="s">
        <v>358</v>
      </c>
      <c r="Q417" s="29" t="s">
        <v>364</v>
      </c>
      <c r="R417" s="29" t="s">
        <v>365</v>
      </c>
      <c r="S417" s="38" t="s">
        <v>48</v>
      </c>
      <c r="T417" s="39" t="s">
        <v>73</v>
      </c>
      <c r="U417" s="39" t="s">
        <v>59</v>
      </c>
      <c r="V417" s="38" t="s">
        <v>107</v>
      </c>
      <c r="W417" s="40" t="s">
        <v>59</v>
      </c>
      <c r="X417" s="13" t="s">
        <v>59</v>
      </c>
      <c r="Y417" s="13" t="s">
        <v>59</v>
      </c>
      <c r="Z417" s="13" t="s">
        <v>59</v>
      </c>
      <c r="AA417" s="13" t="s">
        <v>59</v>
      </c>
      <c r="AB417" s="41" t="s">
        <v>59</v>
      </c>
      <c r="AC417" s="16" t="e">
        <v>#VALUE!</v>
      </c>
      <c r="AD417" s="42" t="s">
        <v>59</v>
      </c>
      <c r="AE417" s="42" t="s">
        <v>59</v>
      </c>
      <c r="AF417" s="42" t="s">
        <v>59</v>
      </c>
      <c r="AG417" s="43" t="s">
        <v>59</v>
      </c>
      <c r="AH417" s="43" t="s">
        <v>59</v>
      </c>
      <c r="AI417" s="43" t="s">
        <v>59</v>
      </c>
      <c r="AJ417" s="17" t="s">
        <v>59</v>
      </c>
      <c r="AK417" s="17" t="s">
        <v>59</v>
      </c>
      <c r="AL417" s="17">
        <v>72.583333333333329</v>
      </c>
      <c r="AM417" s="17" t="s">
        <v>59</v>
      </c>
      <c r="AN417" s="17" t="s">
        <v>59</v>
      </c>
      <c r="AO417" s="44" t="s">
        <v>278</v>
      </c>
    </row>
    <row r="418" spans="1:41" ht="12" customHeight="1" x14ac:dyDescent="0.35">
      <c r="A418" s="29" t="s">
        <v>96</v>
      </c>
      <c r="B418" s="30" t="s">
        <v>355</v>
      </c>
      <c r="C418" s="29">
        <v>32</v>
      </c>
      <c r="D418" s="29" t="s">
        <v>356</v>
      </c>
      <c r="E418" s="31" t="s">
        <v>357</v>
      </c>
      <c r="F418" s="29">
        <v>39031</v>
      </c>
      <c r="G418" s="29" t="s">
        <v>59</v>
      </c>
      <c r="H418" s="32">
        <v>46106</v>
      </c>
      <c r="I418" s="33">
        <v>46106</v>
      </c>
      <c r="J418" s="34" t="s">
        <v>110</v>
      </c>
      <c r="K418" s="35">
        <v>0.875</v>
      </c>
      <c r="L418" s="35">
        <v>0.97916666666666663</v>
      </c>
      <c r="M418" s="36">
        <v>0.91666666666666663</v>
      </c>
      <c r="N418" s="35">
        <v>2.0833333333333332E-2</v>
      </c>
      <c r="O418" s="37">
        <f>IF(N418&gt;M418,N418-M418,(N418+1)-M418)</f>
        <v>0.10416666666666663</v>
      </c>
      <c r="P418" s="29" t="s">
        <v>359</v>
      </c>
      <c r="Q418" s="29" t="s">
        <v>59</v>
      </c>
      <c r="R418" s="29" t="s">
        <v>359</v>
      </c>
      <c r="S418" s="38" t="s">
        <v>48</v>
      </c>
      <c r="T418" s="39" t="s">
        <v>73</v>
      </c>
      <c r="U418" s="39" t="s">
        <v>59</v>
      </c>
      <c r="V418" s="38" t="s">
        <v>107</v>
      </c>
      <c r="W418" s="40" t="s">
        <v>59</v>
      </c>
      <c r="X418" s="13" t="s">
        <v>59</v>
      </c>
      <c r="Y418" s="13" t="s">
        <v>59</v>
      </c>
      <c r="Z418" s="13" t="s">
        <v>59</v>
      </c>
      <c r="AA418" s="13" t="s">
        <v>59</v>
      </c>
      <c r="AB418" s="41" t="s">
        <v>59</v>
      </c>
      <c r="AC418" s="16" t="e">
        <v>#VALUE!</v>
      </c>
      <c r="AD418" s="42" t="s">
        <v>59</v>
      </c>
      <c r="AE418" s="42" t="s">
        <v>59</v>
      </c>
      <c r="AF418" s="42" t="s">
        <v>59</v>
      </c>
      <c r="AG418" s="43" t="s">
        <v>59</v>
      </c>
      <c r="AH418" s="43" t="s">
        <v>59</v>
      </c>
      <c r="AI418" s="43" t="s">
        <v>59</v>
      </c>
      <c r="AJ418" s="17" t="s">
        <v>59</v>
      </c>
      <c r="AK418" s="17" t="s">
        <v>59</v>
      </c>
      <c r="AL418" s="17">
        <v>72.583333333333329</v>
      </c>
      <c r="AM418" s="17" t="s">
        <v>59</v>
      </c>
      <c r="AN418" s="17" t="s">
        <v>59</v>
      </c>
      <c r="AO418" s="44" t="s">
        <v>278</v>
      </c>
    </row>
    <row r="419" spans="1:41" ht="12" customHeight="1" x14ac:dyDescent="0.35">
      <c r="A419" s="29" t="s">
        <v>96</v>
      </c>
      <c r="B419" s="30" t="s">
        <v>355</v>
      </c>
      <c r="C419" s="29">
        <v>32</v>
      </c>
      <c r="D419" s="29" t="s">
        <v>356</v>
      </c>
      <c r="E419" s="31" t="s">
        <v>357</v>
      </c>
      <c r="F419" s="29">
        <v>39031</v>
      </c>
      <c r="G419" s="29" t="s">
        <v>59</v>
      </c>
      <c r="H419" s="32">
        <v>46101</v>
      </c>
      <c r="I419" s="33">
        <v>46101</v>
      </c>
      <c r="J419" s="34" t="s">
        <v>79</v>
      </c>
      <c r="K419" s="35">
        <v>0.375</v>
      </c>
      <c r="L419" s="35">
        <v>0.54513888888888884</v>
      </c>
      <c r="M419" s="36">
        <v>0.41666666666666669</v>
      </c>
      <c r="N419" s="35">
        <v>0.58680555555555558</v>
      </c>
      <c r="O419" s="37">
        <f>IF(N419&gt;M419,N419-M419,(N419+1)-M419)</f>
        <v>0.1701388888888889</v>
      </c>
      <c r="P419" s="29" t="s">
        <v>358</v>
      </c>
      <c r="Q419" s="29" t="s">
        <v>59</v>
      </c>
      <c r="R419" s="29" t="s">
        <v>358</v>
      </c>
      <c r="S419" s="38" t="s">
        <v>46</v>
      </c>
      <c r="T419" s="39" t="s">
        <v>73</v>
      </c>
      <c r="U419" s="39" t="s">
        <v>59</v>
      </c>
      <c r="V419" s="38" t="s">
        <v>100</v>
      </c>
      <c r="W419" s="40" t="s">
        <v>59</v>
      </c>
      <c r="X419" s="13" t="s">
        <v>59</v>
      </c>
      <c r="Y419" s="13" t="s">
        <v>59</v>
      </c>
      <c r="Z419" s="13" t="s">
        <v>59</v>
      </c>
      <c r="AA419" s="13" t="s">
        <v>59</v>
      </c>
      <c r="AB419" s="41" t="s">
        <v>59</v>
      </c>
      <c r="AC419" s="16" t="e">
        <v>#VALUE!</v>
      </c>
      <c r="AD419" s="42" t="s">
        <v>59</v>
      </c>
      <c r="AE419" s="42" t="s">
        <v>59</v>
      </c>
      <c r="AF419" s="42" t="s">
        <v>59</v>
      </c>
      <c r="AG419" s="43" t="s">
        <v>59</v>
      </c>
      <c r="AH419" s="43" t="s">
        <v>59</v>
      </c>
      <c r="AI419" s="43" t="s">
        <v>59</v>
      </c>
      <c r="AJ419" s="17" t="s">
        <v>59</v>
      </c>
      <c r="AK419" s="17" t="s">
        <v>59</v>
      </c>
      <c r="AL419" s="17">
        <v>87.1</v>
      </c>
      <c r="AM419" s="17" t="s">
        <v>59</v>
      </c>
      <c r="AN419" s="17" t="s">
        <v>59</v>
      </c>
      <c r="AO419" s="44" t="s">
        <v>278</v>
      </c>
    </row>
    <row r="420" spans="1:41" ht="12" customHeight="1" x14ac:dyDescent="0.35">
      <c r="A420" s="29" t="s">
        <v>96</v>
      </c>
      <c r="B420" s="30" t="s">
        <v>355</v>
      </c>
      <c r="C420" s="29">
        <v>32</v>
      </c>
      <c r="D420" s="29" t="s">
        <v>356</v>
      </c>
      <c r="E420" s="31" t="s">
        <v>357</v>
      </c>
      <c r="F420" s="29">
        <v>39031</v>
      </c>
      <c r="G420" s="29" t="s">
        <v>59</v>
      </c>
      <c r="H420" s="32">
        <v>46102</v>
      </c>
      <c r="I420" s="33">
        <v>46102</v>
      </c>
      <c r="J420" s="34" t="s">
        <v>71</v>
      </c>
      <c r="K420" s="35">
        <v>0.37847222222222221</v>
      </c>
      <c r="L420" s="35">
        <v>0.51736111111111116</v>
      </c>
      <c r="M420" s="36">
        <v>0.4201388888888889</v>
      </c>
      <c r="N420" s="35">
        <v>0.55902777777777779</v>
      </c>
      <c r="O420" s="37">
        <f>IF(N420&gt;M420,N420-M420,(N420+1)-M420)</f>
        <v>0.1388888888888889</v>
      </c>
      <c r="P420" s="29" t="s">
        <v>359</v>
      </c>
      <c r="Q420" s="29" t="s">
        <v>59</v>
      </c>
      <c r="R420" s="29" t="s">
        <v>359</v>
      </c>
      <c r="S420" s="38" t="s">
        <v>46</v>
      </c>
      <c r="T420" s="39" t="s">
        <v>73</v>
      </c>
      <c r="U420" s="39" t="s">
        <v>59</v>
      </c>
      <c r="V420" s="38" t="s">
        <v>104</v>
      </c>
      <c r="W420" s="40" t="s">
        <v>59</v>
      </c>
      <c r="X420" s="13" t="s">
        <v>59</v>
      </c>
      <c r="Y420" s="13" t="s">
        <v>59</v>
      </c>
      <c r="Z420" s="13" t="s">
        <v>59</v>
      </c>
      <c r="AA420" s="13" t="s">
        <v>59</v>
      </c>
      <c r="AB420" s="41" t="s">
        <v>59</v>
      </c>
      <c r="AC420" s="16" t="e">
        <v>#VALUE!</v>
      </c>
      <c r="AD420" s="42" t="s">
        <v>59</v>
      </c>
      <c r="AE420" s="42" t="s">
        <v>59</v>
      </c>
      <c r="AF420" s="42" t="s">
        <v>59</v>
      </c>
      <c r="AG420" s="43" t="s">
        <v>59</v>
      </c>
      <c r="AH420" s="43" t="s">
        <v>59</v>
      </c>
      <c r="AI420" s="43" t="s">
        <v>59</v>
      </c>
      <c r="AJ420" s="17" t="s">
        <v>59</v>
      </c>
      <c r="AK420" s="17" t="s">
        <v>59</v>
      </c>
      <c r="AL420" s="17">
        <v>104.52</v>
      </c>
      <c r="AM420" s="17" t="s">
        <v>59</v>
      </c>
      <c r="AN420" s="17" t="s">
        <v>59</v>
      </c>
      <c r="AO420" s="44" t="s">
        <v>278</v>
      </c>
    </row>
    <row r="421" spans="1:41" ht="12" customHeight="1" x14ac:dyDescent="0.35">
      <c r="A421" s="29" t="s">
        <v>96</v>
      </c>
      <c r="B421" s="30" t="s">
        <v>355</v>
      </c>
      <c r="C421" s="29">
        <v>32</v>
      </c>
      <c r="D421" s="29" t="s">
        <v>356</v>
      </c>
      <c r="E421" s="31" t="s">
        <v>357</v>
      </c>
      <c r="F421" s="29">
        <v>39031</v>
      </c>
      <c r="G421" s="29" t="s">
        <v>59</v>
      </c>
      <c r="H421" s="32">
        <v>46103</v>
      </c>
      <c r="I421" s="33">
        <v>46103</v>
      </c>
      <c r="J421" s="34" t="s">
        <v>74</v>
      </c>
      <c r="K421" s="35">
        <v>0.375</v>
      </c>
      <c r="L421" s="35">
        <v>0.41319444444444442</v>
      </c>
      <c r="M421" s="36">
        <v>0.41666666666666669</v>
      </c>
      <c r="N421" s="35">
        <v>0.4548611111111111</v>
      </c>
      <c r="O421" s="37">
        <f>IF(N421&gt;M421,N421-M421,(N421+1)-M421)</f>
        <v>3.819444444444442E-2</v>
      </c>
      <c r="P421" s="29" t="s">
        <v>359</v>
      </c>
      <c r="Q421" s="29" t="s">
        <v>59</v>
      </c>
      <c r="R421" s="29" t="s">
        <v>359</v>
      </c>
      <c r="S421" s="38" t="s">
        <v>46</v>
      </c>
      <c r="T421" s="39" t="s">
        <v>73</v>
      </c>
      <c r="U421" s="39" t="s">
        <v>59</v>
      </c>
      <c r="V421" s="38" t="s">
        <v>107</v>
      </c>
      <c r="W421" s="40" t="s">
        <v>59</v>
      </c>
      <c r="X421" s="13" t="s">
        <v>59</v>
      </c>
      <c r="Y421" s="13" t="s">
        <v>59</v>
      </c>
      <c r="Z421" s="13" t="s">
        <v>59</v>
      </c>
      <c r="AA421" s="13" t="s">
        <v>59</v>
      </c>
      <c r="AB421" s="41" t="s">
        <v>59</v>
      </c>
      <c r="AC421" s="16" t="e">
        <v>#VALUE!</v>
      </c>
      <c r="AD421" s="42" t="s">
        <v>59</v>
      </c>
      <c r="AE421" s="42" t="s">
        <v>59</v>
      </c>
      <c r="AF421" s="42" t="s">
        <v>59</v>
      </c>
      <c r="AG421" s="43" t="s">
        <v>59</v>
      </c>
      <c r="AH421" s="43" t="s">
        <v>59</v>
      </c>
      <c r="AI421" s="43" t="s">
        <v>59</v>
      </c>
      <c r="AJ421" s="17" t="s">
        <v>59</v>
      </c>
      <c r="AK421" s="17" t="s">
        <v>59</v>
      </c>
      <c r="AL421" s="17">
        <v>104.52</v>
      </c>
      <c r="AM421" s="17" t="s">
        <v>59</v>
      </c>
      <c r="AN421" s="17" t="s">
        <v>59</v>
      </c>
      <c r="AO421" s="44" t="s">
        <v>278</v>
      </c>
    </row>
    <row r="422" spans="1:41" ht="12" customHeight="1" x14ac:dyDescent="0.35">
      <c r="A422" s="29" t="s">
        <v>96</v>
      </c>
      <c r="B422" s="30" t="s">
        <v>355</v>
      </c>
      <c r="C422" s="29">
        <v>32</v>
      </c>
      <c r="D422" s="29" t="s">
        <v>356</v>
      </c>
      <c r="E422" s="31" t="s">
        <v>357</v>
      </c>
      <c r="F422" s="29">
        <v>39031</v>
      </c>
      <c r="G422" s="29" t="s">
        <v>59</v>
      </c>
      <c r="H422" s="32">
        <v>46103</v>
      </c>
      <c r="I422" s="33">
        <v>46103</v>
      </c>
      <c r="J422" s="34" t="s">
        <v>74</v>
      </c>
      <c r="K422" s="35">
        <v>0.49652777777777779</v>
      </c>
      <c r="L422" s="35">
        <v>0.52083333333333337</v>
      </c>
      <c r="M422" s="36">
        <v>0.53819444444444442</v>
      </c>
      <c r="N422" s="35">
        <v>0.5625</v>
      </c>
      <c r="O422" s="37">
        <f>IF(N422&gt;M422,N422-M422,(N422+1)-M422)</f>
        <v>2.430555555555558E-2</v>
      </c>
      <c r="P422" s="29" t="s">
        <v>359</v>
      </c>
      <c r="Q422" s="29" t="s">
        <v>59</v>
      </c>
      <c r="R422" s="29" t="s">
        <v>359</v>
      </c>
      <c r="S422" s="38" t="s">
        <v>46</v>
      </c>
      <c r="T422" s="39" t="s">
        <v>73</v>
      </c>
      <c r="U422" s="39" t="s">
        <v>59</v>
      </c>
      <c r="V422" s="38" t="s">
        <v>107</v>
      </c>
      <c r="W422" s="40" t="s">
        <v>59</v>
      </c>
      <c r="X422" s="13" t="s">
        <v>59</v>
      </c>
      <c r="Y422" s="13" t="s">
        <v>59</v>
      </c>
      <c r="Z422" s="13" t="s">
        <v>59</v>
      </c>
      <c r="AA422" s="13" t="s">
        <v>59</v>
      </c>
      <c r="AB422" s="41" t="s">
        <v>59</v>
      </c>
      <c r="AC422" s="16" t="e">
        <v>#VALUE!</v>
      </c>
      <c r="AD422" s="42" t="s">
        <v>59</v>
      </c>
      <c r="AE422" s="42" t="s">
        <v>59</v>
      </c>
      <c r="AF422" s="42" t="s">
        <v>59</v>
      </c>
      <c r="AG422" s="43" t="s">
        <v>59</v>
      </c>
      <c r="AH422" s="43" t="s">
        <v>59</v>
      </c>
      <c r="AI422" s="43" t="s">
        <v>59</v>
      </c>
      <c r="AJ422" s="17" t="s">
        <v>59</v>
      </c>
      <c r="AK422" s="17" t="s">
        <v>59</v>
      </c>
      <c r="AL422" s="17">
        <v>104.52</v>
      </c>
      <c r="AM422" s="17" t="s">
        <v>59</v>
      </c>
      <c r="AN422" s="17" t="s">
        <v>59</v>
      </c>
      <c r="AO422" s="44" t="s">
        <v>278</v>
      </c>
    </row>
    <row r="423" spans="1:41" ht="12" customHeight="1" x14ac:dyDescent="0.35">
      <c r="A423" s="29" t="s">
        <v>96</v>
      </c>
      <c r="B423" s="30" t="s">
        <v>355</v>
      </c>
      <c r="C423" s="29">
        <v>32</v>
      </c>
      <c r="D423" s="29" t="s">
        <v>356</v>
      </c>
      <c r="E423" s="31" t="s">
        <v>357</v>
      </c>
      <c r="F423" s="29">
        <v>39031</v>
      </c>
      <c r="G423" s="29" t="s">
        <v>59</v>
      </c>
      <c r="H423" s="32">
        <v>46103</v>
      </c>
      <c r="I423" s="33">
        <v>46103</v>
      </c>
      <c r="J423" s="34" t="s">
        <v>74</v>
      </c>
      <c r="K423" s="35">
        <v>0.69444444444444442</v>
      </c>
      <c r="L423" s="35">
        <v>0.83333333333333337</v>
      </c>
      <c r="M423" s="36">
        <v>0.73611111111111116</v>
      </c>
      <c r="N423" s="35">
        <v>0.875</v>
      </c>
      <c r="O423" s="37">
        <f>IF(N423&gt;M423,N423-M423,(N423+1)-M423)</f>
        <v>0.13888888888888884</v>
      </c>
      <c r="P423" s="29" t="s">
        <v>359</v>
      </c>
      <c r="Q423" s="29" t="s">
        <v>59</v>
      </c>
      <c r="R423" s="29" t="s">
        <v>359</v>
      </c>
      <c r="S423" s="38" t="s">
        <v>46</v>
      </c>
      <c r="T423" s="39" t="s">
        <v>73</v>
      </c>
      <c r="U423" s="39" t="s">
        <v>59</v>
      </c>
      <c r="V423" s="38" t="s">
        <v>107</v>
      </c>
      <c r="W423" s="40" t="s">
        <v>59</v>
      </c>
      <c r="X423" s="13" t="s">
        <v>59</v>
      </c>
      <c r="Y423" s="13" t="s">
        <v>59</v>
      </c>
      <c r="Z423" s="13" t="s">
        <v>59</v>
      </c>
      <c r="AA423" s="13" t="s">
        <v>59</v>
      </c>
      <c r="AB423" s="41" t="s">
        <v>59</v>
      </c>
      <c r="AC423" s="16" t="e">
        <v>#VALUE!</v>
      </c>
      <c r="AD423" s="42" t="s">
        <v>59</v>
      </c>
      <c r="AE423" s="42" t="s">
        <v>59</v>
      </c>
      <c r="AF423" s="42" t="s">
        <v>59</v>
      </c>
      <c r="AG423" s="43" t="s">
        <v>59</v>
      </c>
      <c r="AH423" s="43" t="s">
        <v>59</v>
      </c>
      <c r="AI423" s="43" t="s">
        <v>59</v>
      </c>
      <c r="AJ423" s="17" t="s">
        <v>59</v>
      </c>
      <c r="AK423" s="17" t="s">
        <v>59</v>
      </c>
      <c r="AL423" s="17">
        <v>104.52</v>
      </c>
      <c r="AM423" s="17" t="s">
        <v>59</v>
      </c>
      <c r="AN423" s="17" t="s">
        <v>59</v>
      </c>
      <c r="AO423" s="44" t="s">
        <v>278</v>
      </c>
    </row>
    <row r="424" spans="1:41" ht="12" customHeight="1" x14ac:dyDescent="0.35">
      <c r="A424" s="29" t="s">
        <v>96</v>
      </c>
      <c r="B424" s="30" t="s">
        <v>355</v>
      </c>
      <c r="C424" s="29">
        <v>32</v>
      </c>
      <c r="D424" s="29" t="s">
        <v>356</v>
      </c>
      <c r="E424" s="31" t="s">
        <v>357</v>
      </c>
      <c r="F424" s="29">
        <v>39031</v>
      </c>
      <c r="G424" s="29" t="s">
        <v>59</v>
      </c>
      <c r="H424" s="32">
        <v>46101</v>
      </c>
      <c r="I424" s="33">
        <v>46101</v>
      </c>
      <c r="J424" s="34" t="s">
        <v>79</v>
      </c>
      <c r="K424" s="35">
        <v>0.78819444444444442</v>
      </c>
      <c r="L424" s="35">
        <v>0.85416666666666663</v>
      </c>
      <c r="M424" s="36">
        <v>0.82986111111111116</v>
      </c>
      <c r="N424" s="35">
        <v>0.89583333333333337</v>
      </c>
      <c r="O424" s="37">
        <f>IF(N424&gt;M424,N424-M424,(N424+1)-M424)</f>
        <v>6.597222222222221E-2</v>
      </c>
      <c r="P424" s="29" t="s">
        <v>358</v>
      </c>
      <c r="Q424" s="29" t="s">
        <v>59</v>
      </c>
      <c r="R424" s="29" t="s">
        <v>358</v>
      </c>
      <c r="S424" s="38" t="s">
        <v>46</v>
      </c>
      <c r="T424" s="39" t="s">
        <v>73</v>
      </c>
      <c r="U424" s="39" t="s">
        <v>59</v>
      </c>
      <c r="V424" s="38" t="s">
        <v>100</v>
      </c>
      <c r="W424" s="40" t="s">
        <v>59</v>
      </c>
      <c r="X424" s="13" t="s">
        <v>59</v>
      </c>
      <c r="Y424" s="13" t="s">
        <v>59</v>
      </c>
      <c r="Z424" s="13" t="s">
        <v>59</v>
      </c>
      <c r="AA424" s="13" t="s">
        <v>59</v>
      </c>
      <c r="AB424" s="41" t="s">
        <v>59</v>
      </c>
      <c r="AC424" s="16" t="e">
        <v>#VALUE!</v>
      </c>
      <c r="AD424" s="42" t="s">
        <v>59</v>
      </c>
      <c r="AE424" s="42" t="s">
        <v>59</v>
      </c>
      <c r="AF424" s="42" t="s">
        <v>59</v>
      </c>
      <c r="AG424" s="43" t="s">
        <v>59</v>
      </c>
      <c r="AH424" s="43" t="s">
        <v>59</v>
      </c>
      <c r="AI424" s="43" t="s">
        <v>59</v>
      </c>
      <c r="AJ424" s="17" t="s">
        <v>59</v>
      </c>
      <c r="AK424" s="17" t="s">
        <v>59</v>
      </c>
      <c r="AL424" s="17">
        <v>174.2</v>
      </c>
      <c r="AM424" s="17" t="s">
        <v>59</v>
      </c>
      <c r="AN424" s="17" t="s">
        <v>59</v>
      </c>
      <c r="AO424" s="44" t="s">
        <v>278</v>
      </c>
    </row>
    <row r="425" spans="1:41" ht="12" customHeight="1" x14ac:dyDescent="0.35">
      <c r="A425" s="29" t="s">
        <v>96</v>
      </c>
      <c r="B425" s="30" t="s">
        <v>355</v>
      </c>
      <c r="C425" s="29">
        <v>32</v>
      </c>
      <c r="D425" s="29" t="s">
        <v>356</v>
      </c>
      <c r="E425" s="31" t="s">
        <v>357</v>
      </c>
      <c r="F425" s="29">
        <v>39031</v>
      </c>
      <c r="G425" s="29" t="s">
        <v>59</v>
      </c>
      <c r="H425" s="32">
        <v>46102</v>
      </c>
      <c r="I425" s="33">
        <v>46102</v>
      </c>
      <c r="J425" s="34" t="s">
        <v>71</v>
      </c>
      <c r="K425" s="35">
        <v>0.72569444444444442</v>
      </c>
      <c r="L425" s="35">
        <v>0.85069444444444442</v>
      </c>
      <c r="M425" s="36">
        <v>0.76736111111111116</v>
      </c>
      <c r="N425" s="35">
        <v>0.89236111111111116</v>
      </c>
      <c r="O425" s="37">
        <f>IF(N425&gt;M425,N425-M425,(N425+1)-M425)</f>
        <v>0.125</v>
      </c>
      <c r="P425" s="29" t="s">
        <v>359</v>
      </c>
      <c r="Q425" s="29" t="s">
        <v>59</v>
      </c>
      <c r="R425" s="29" t="s">
        <v>359</v>
      </c>
      <c r="S425" s="38" t="s">
        <v>46</v>
      </c>
      <c r="T425" s="39" t="s">
        <v>73</v>
      </c>
      <c r="U425" s="39" t="s">
        <v>59</v>
      </c>
      <c r="V425" s="38" t="s">
        <v>104</v>
      </c>
      <c r="W425" s="40" t="s">
        <v>59</v>
      </c>
      <c r="X425" s="13" t="s">
        <v>59</v>
      </c>
      <c r="Y425" s="13" t="s">
        <v>59</v>
      </c>
      <c r="Z425" s="13" t="s">
        <v>59</v>
      </c>
      <c r="AA425" s="13" t="s">
        <v>59</v>
      </c>
      <c r="AB425" s="41" t="s">
        <v>59</v>
      </c>
      <c r="AC425" s="16" t="e">
        <v>#VALUE!</v>
      </c>
      <c r="AD425" s="42" t="s">
        <v>59</v>
      </c>
      <c r="AE425" s="42" t="s">
        <v>59</v>
      </c>
      <c r="AF425" s="42" t="s">
        <v>59</v>
      </c>
      <c r="AG425" s="43" t="s">
        <v>59</v>
      </c>
      <c r="AH425" s="43" t="s">
        <v>59</v>
      </c>
      <c r="AI425" s="43" t="s">
        <v>59</v>
      </c>
      <c r="AJ425" s="17" t="s">
        <v>59</v>
      </c>
      <c r="AK425" s="17" t="s">
        <v>59</v>
      </c>
      <c r="AL425" s="17">
        <v>209.04</v>
      </c>
      <c r="AM425" s="17" t="s">
        <v>59</v>
      </c>
      <c r="AN425" s="17" t="s">
        <v>59</v>
      </c>
      <c r="AO425" s="44" t="s">
        <v>278</v>
      </c>
    </row>
  </sheetData>
  <autoFilter ref="A6:BA425" xr:uid="{00000000-0001-0000-0000-000000000000}"/>
  <sortState xmlns:xlrd2="http://schemas.microsoft.com/office/spreadsheetml/2017/richdata2" ref="A7:AO425">
    <sortCondition ref="B7:B425"/>
    <sortCondition ref="E7:E425"/>
    <sortCondition ref="F7:F425"/>
    <sortCondition ref="H7:H425"/>
    <sortCondition ref="K7:K425"/>
  </sortState>
  <pageMargins left="0.7" right="0.7" top="0.78740157499999996" bottom="0.78740157499999996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Data!$A$6:$A$10</xm:f>
          </x14:formula1>
          <xm:sqref>S7:S386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workbookViewId="0">
      <selection activeCell="A10" sqref="A10"/>
    </sheetView>
  </sheetViews>
  <sheetFormatPr defaultColWidth="14.453125" defaultRowHeight="15" customHeight="1" x14ac:dyDescent="0.35"/>
  <cols>
    <col min="1" max="2" width="19.81640625" customWidth="1"/>
    <col min="3" max="3" width="22.1796875" customWidth="1"/>
    <col min="4" max="26" width="11.453125" customWidth="1"/>
  </cols>
  <sheetData>
    <row r="1" spans="1:26" ht="11.25" customHeight="1" x14ac:dyDescent="0.35">
      <c r="A1" s="1"/>
      <c r="B1" s="2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1.25" customHeight="1" x14ac:dyDescent="0.35">
      <c r="A2" s="2"/>
      <c r="B2" s="2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1.25" customHeight="1" x14ac:dyDescent="0.35">
      <c r="A3" s="7" t="s">
        <v>0</v>
      </c>
      <c r="B3" s="2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1.25" customHeight="1" x14ac:dyDescent="0.35">
      <c r="A4" s="7" t="s">
        <v>42</v>
      </c>
      <c r="B4" s="2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1.25" customHeight="1" x14ac:dyDescent="0.35">
      <c r="A5" s="14" t="s">
        <v>43</v>
      </c>
      <c r="B5" s="14" t="s">
        <v>44</v>
      </c>
      <c r="C5" s="14" t="s">
        <v>45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1.25" customHeight="1" x14ac:dyDescent="0.35">
      <c r="A6" s="18" t="s">
        <v>46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1.25" customHeight="1" x14ac:dyDescent="0.35">
      <c r="A7" s="18" t="s">
        <v>47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1.25" customHeight="1" x14ac:dyDescent="0.35">
      <c r="A8" s="18" t="s">
        <v>48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1.25" customHeight="1" x14ac:dyDescent="0.35">
      <c r="A9" s="18" t="s">
        <v>49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1.25" customHeight="1" x14ac:dyDescent="0.35">
      <c r="A10" s="18" t="s">
        <v>50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1.25" customHeight="1" x14ac:dyDescent="0.3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1.25" customHeight="1" x14ac:dyDescent="0.3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1.25" customHeight="1" x14ac:dyDescent="0.3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1.25" customHeight="1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1.25" customHeight="1" x14ac:dyDescent="0.3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1.25" customHeight="1" x14ac:dyDescent="0.3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1.25" customHeight="1" x14ac:dyDescent="0.3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1.25" customHeight="1" x14ac:dyDescent="0.3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1.25" customHeight="1" x14ac:dyDescent="0.3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1.25" customHeight="1" x14ac:dyDescent="0.3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1.25" customHeight="1" x14ac:dyDescent="0.3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1.25" customHeight="1" x14ac:dyDescent="0.3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1.25" customHeight="1" x14ac:dyDescent="0.3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1.25" customHeight="1" x14ac:dyDescent="0.3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1.25" customHeight="1" x14ac:dyDescent="0.3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1.25" customHeight="1" x14ac:dyDescent="0.3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1.25" customHeight="1" x14ac:dyDescent="0.35">
      <c r="A27" s="18"/>
      <c r="B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1.25" customHeight="1" x14ac:dyDescent="0.35">
      <c r="A28" s="18"/>
      <c r="B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1.25" customHeight="1" x14ac:dyDescent="0.35">
      <c r="A29" s="18"/>
      <c r="B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1.25" customHeight="1" x14ac:dyDescent="0.35">
      <c r="A30" s="18"/>
      <c r="B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1.25" customHeight="1" x14ac:dyDescent="0.35">
      <c r="A31" s="18"/>
      <c r="B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1.25" customHeight="1" x14ac:dyDescent="0.35">
      <c r="A32" s="18"/>
      <c r="B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1.25" customHeight="1" x14ac:dyDescent="0.35">
      <c r="A33" s="18"/>
      <c r="B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1.25" customHeight="1" x14ac:dyDescent="0.35">
      <c r="A34" s="18"/>
      <c r="B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1.25" customHeight="1" x14ac:dyDescent="0.35">
      <c r="A35" s="18"/>
      <c r="B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1.25" customHeight="1" x14ac:dyDescent="0.35">
      <c r="A36" s="18"/>
      <c r="B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1.25" customHeight="1" x14ac:dyDescent="0.35">
      <c r="A37" s="18"/>
      <c r="B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1.25" customHeight="1" x14ac:dyDescent="0.35">
      <c r="A38" s="18"/>
      <c r="B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1.25" customHeight="1" x14ac:dyDescent="0.35">
      <c r="A39" s="18"/>
      <c r="B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1.25" customHeight="1" x14ac:dyDescent="0.35">
      <c r="A40" s="18"/>
      <c r="B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1.25" customHeight="1" x14ac:dyDescent="0.35">
      <c r="A41" s="18"/>
      <c r="B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1.25" customHeight="1" x14ac:dyDescent="0.35">
      <c r="A42" s="18"/>
      <c r="B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1.25" customHeight="1" x14ac:dyDescent="0.35">
      <c r="A43" s="18"/>
      <c r="B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1.25" customHeight="1" x14ac:dyDescent="0.35">
      <c r="A44" s="18"/>
      <c r="B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1.25" customHeight="1" x14ac:dyDescent="0.35">
      <c r="A45" s="18"/>
      <c r="B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1.25" customHeight="1" x14ac:dyDescent="0.35">
      <c r="A46" s="18"/>
      <c r="B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1.25" customHeight="1" x14ac:dyDescent="0.35">
      <c r="A47" s="18"/>
      <c r="B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1.25" customHeight="1" x14ac:dyDescent="0.35">
      <c r="A48" s="18"/>
      <c r="B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1.25" customHeight="1" x14ac:dyDescent="0.35">
      <c r="A49" s="18"/>
      <c r="B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1.25" customHeight="1" x14ac:dyDescent="0.35">
      <c r="A50" s="18"/>
      <c r="B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1.25" customHeight="1" x14ac:dyDescent="0.35">
      <c r="A51" s="18"/>
      <c r="B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1.25" customHeight="1" x14ac:dyDescent="0.35">
      <c r="A52" s="18"/>
      <c r="B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1.25" customHeight="1" x14ac:dyDescent="0.35">
      <c r="A53" s="18"/>
      <c r="B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1.25" customHeight="1" x14ac:dyDescent="0.35">
      <c r="A54" s="18"/>
      <c r="B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1.25" customHeight="1" x14ac:dyDescent="0.35">
      <c r="A55" s="18"/>
      <c r="B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1.25" customHeight="1" x14ac:dyDescent="0.35">
      <c r="A56" s="18"/>
      <c r="B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1.25" customHeight="1" x14ac:dyDescent="0.35">
      <c r="A57" s="18"/>
      <c r="B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1.25" customHeight="1" x14ac:dyDescent="0.35">
      <c r="A58" s="18"/>
      <c r="B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1.25" customHeight="1" x14ac:dyDescent="0.35">
      <c r="A59" s="18"/>
      <c r="B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1.25" customHeight="1" x14ac:dyDescent="0.35">
      <c r="A60" s="18"/>
      <c r="B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1.25" customHeight="1" x14ac:dyDescent="0.35">
      <c r="A61" s="18"/>
      <c r="B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1.25" customHeight="1" x14ac:dyDescent="0.35">
      <c r="A62" s="18"/>
      <c r="B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1.25" customHeight="1" x14ac:dyDescent="0.35">
      <c r="A63" s="18"/>
      <c r="B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1.25" customHeight="1" x14ac:dyDescent="0.35">
      <c r="A64" s="18"/>
      <c r="B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1.25" customHeight="1" x14ac:dyDescent="0.35">
      <c r="A65" s="18"/>
      <c r="B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1.25" customHeight="1" x14ac:dyDescent="0.35">
      <c r="A66" s="18"/>
      <c r="B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1.25" customHeight="1" x14ac:dyDescent="0.35">
      <c r="A67" s="18"/>
      <c r="B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1.25" customHeight="1" x14ac:dyDescent="0.35">
      <c r="A68" s="18"/>
      <c r="B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1.25" customHeight="1" x14ac:dyDescent="0.35">
      <c r="A69" s="18"/>
      <c r="B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1.25" customHeight="1" x14ac:dyDescent="0.35">
      <c r="A70" s="18"/>
      <c r="B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1.25" customHeight="1" x14ac:dyDescent="0.35">
      <c r="A71" s="18"/>
      <c r="B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1.25" customHeight="1" x14ac:dyDescent="0.35">
      <c r="A72" s="18"/>
      <c r="B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1.25" customHeight="1" x14ac:dyDescent="0.35">
      <c r="A73" s="18"/>
      <c r="B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1.25" customHeight="1" x14ac:dyDescent="0.35">
      <c r="A74" s="18"/>
      <c r="B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1.25" customHeight="1" x14ac:dyDescent="0.35">
      <c r="A75" s="18"/>
      <c r="B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1.25" customHeight="1" x14ac:dyDescent="0.35">
      <c r="A76" s="18"/>
      <c r="B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1.25" customHeight="1" x14ac:dyDescent="0.35">
      <c r="A77" s="18"/>
      <c r="B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1.25" customHeight="1" x14ac:dyDescent="0.35">
      <c r="A78" s="18"/>
      <c r="B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1.25" customHeight="1" x14ac:dyDescent="0.35">
      <c r="A79" s="18"/>
      <c r="B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1.25" customHeight="1" x14ac:dyDescent="0.35">
      <c r="A80" s="18"/>
      <c r="B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1.25" customHeight="1" x14ac:dyDescent="0.35">
      <c r="A81" s="18"/>
      <c r="B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1.25" customHeight="1" x14ac:dyDescent="0.35">
      <c r="A82" s="18"/>
      <c r="B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1.25" customHeight="1" x14ac:dyDescent="0.35">
      <c r="A83" s="18"/>
      <c r="B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1.25" customHeight="1" x14ac:dyDescent="0.35">
      <c r="A84" s="18"/>
      <c r="B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1.25" customHeight="1" x14ac:dyDescent="0.35">
      <c r="A85" s="18"/>
      <c r="B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1.25" customHeight="1" x14ac:dyDescent="0.35">
      <c r="A86" s="18"/>
      <c r="B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1.25" customHeight="1" x14ac:dyDescent="0.35">
      <c r="A87" s="18"/>
      <c r="B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1.25" customHeight="1" x14ac:dyDescent="0.35">
      <c r="A88" s="18"/>
      <c r="B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1.25" customHeight="1" x14ac:dyDescent="0.35">
      <c r="A89" s="18"/>
      <c r="B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1.25" customHeight="1" x14ac:dyDescent="0.35">
      <c r="A90" s="18"/>
      <c r="B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1.25" customHeight="1" x14ac:dyDescent="0.35">
      <c r="A91" s="18"/>
      <c r="B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1.25" customHeight="1" x14ac:dyDescent="0.35">
      <c r="A92" s="18"/>
      <c r="B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1.25" customHeight="1" x14ac:dyDescent="0.35">
      <c r="A93" s="18"/>
      <c r="B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1.25" customHeight="1" x14ac:dyDescent="0.35">
      <c r="A94" s="18"/>
      <c r="B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1.25" customHeight="1" x14ac:dyDescent="0.35">
      <c r="A95" s="18"/>
      <c r="B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1.25" customHeight="1" x14ac:dyDescent="0.35">
      <c r="A96" s="18"/>
      <c r="B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1.25" customHeight="1" x14ac:dyDescent="0.35">
      <c r="A97" s="18"/>
      <c r="B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1.25" customHeight="1" x14ac:dyDescent="0.35">
      <c r="A98" s="18"/>
      <c r="B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1.25" customHeight="1" x14ac:dyDescent="0.35">
      <c r="A99" s="18"/>
      <c r="B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1.25" customHeight="1" x14ac:dyDescent="0.35">
      <c r="A100" s="18"/>
      <c r="B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1.25" customHeight="1" x14ac:dyDescent="0.35">
      <c r="A101" s="18"/>
      <c r="B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1.25" customHeight="1" x14ac:dyDescent="0.35">
      <c r="A102" s="18"/>
      <c r="B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1.25" customHeight="1" x14ac:dyDescent="0.35">
      <c r="A103" s="18"/>
      <c r="B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1.25" customHeight="1" x14ac:dyDescent="0.35">
      <c r="A104" s="18"/>
      <c r="B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1.25" customHeight="1" x14ac:dyDescent="0.35">
      <c r="A105" s="18"/>
      <c r="B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1.25" customHeight="1" x14ac:dyDescent="0.35">
      <c r="A106" s="18"/>
      <c r="B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1.25" customHeight="1" x14ac:dyDescent="0.35">
      <c r="A107" s="18"/>
      <c r="B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1.25" customHeight="1" x14ac:dyDescent="0.35">
      <c r="A108" s="18"/>
      <c r="B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1.25" customHeight="1" x14ac:dyDescent="0.35">
      <c r="A109" s="18"/>
      <c r="B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1.25" customHeight="1" x14ac:dyDescent="0.35">
      <c r="A110" s="18"/>
      <c r="B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1.25" customHeight="1" x14ac:dyDescent="0.35">
      <c r="A111" s="18"/>
      <c r="B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1.25" customHeight="1" x14ac:dyDescent="0.35">
      <c r="A112" s="18"/>
      <c r="B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1.25" customHeight="1" x14ac:dyDescent="0.35">
      <c r="A113" s="18"/>
      <c r="B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1.25" customHeight="1" x14ac:dyDescent="0.35">
      <c r="A114" s="18"/>
      <c r="B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1.25" customHeight="1" x14ac:dyDescent="0.35">
      <c r="A115" s="18"/>
      <c r="B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1.25" customHeight="1" x14ac:dyDescent="0.35">
      <c r="A116" s="18"/>
      <c r="B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1.25" customHeight="1" x14ac:dyDescent="0.35">
      <c r="A117" s="18"/>
      <c r="B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1.25" customHeight="1" x14ac:dyDescent="0.35">
      <c r="A118" s="18"/>
      <c r="B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1.25" customHeight="1" x14ac:dyDescent="0.35">
      <c r="A119" s="18"/>
      <c r="B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1.25" customHeight="1" x14ac:dyDescent="0.35">
      <c r="A120" s="18"/>
      <c r="B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1.25" customHeight="1" x14ac:dyDescent="0.35">
      <c r="A121" s="18"/>
      <c r="B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1.25" customHeight="1" x14ac:dyDescent="0.35">
      <c r="A122" s="18"/>
      <c r="B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1.25" customHeight="1" x14ac:dyDescent="0.35">
      <c r="A123" s="18"/>
      <c r="B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1.25" customHeight="1" x14ac:dyDescent="0.35">
      <c r="A124" s="18"/>
      <c r="B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1.25" customHeight="1" x14ac:dyDescent="0.35">
      <c r="A125" s="18"/>
      <c r="B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1.25" customHeight="1" x14ac:dyDescent="0.35">
      <c r="A126" s="18"/>
      <c r="B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1.25" customHeight="1" x14ac:dyDescent="0.35">
      <c r="A127" s="18"/>
      <c r="B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1.25" customHeight="1" x14ac:dyDescent="0.35">
      <c r="A128" s="18"/>
      <c r="B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1.25" customHeight="1" x14ac:dyDescent="0.35">
      <c r="A129" s="18"/>
      <c r="B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1.25" customHeight="1" x14ac:dyDescent="0.35">
      <c r="A130" s="18"/>
      <c r="B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1.25" customHeight="1" x14ac:dyDescent="0.35">
      <c r="A131" s="18"/>
      <c r="B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1.25" customHeight="1" x14ac:dyDescent="0.35">
      <c r="A132" s="18"/>
      <c r="B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1.25" customHeight="1" x14ac:dyDescent="0.35">
      <c r="A133" s="18"/>
      <c r="B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1.25" customHeight="1" x14ac:dyDescent="0.35">
      <c r="A134" s="18"/>
      <c r="B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1.25" customHeight="1" x14ac:dyDescent="0.35">
      <c r="A135" s="18"/>
      <c r="B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1.25" customHeight="1" x14ac:dyDescent="0.35">
      <c r="A136" s="18"/>
      <c r="B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1.25" customHeight="1" x14ac:dyDescent="0.35">
      <c r="A137" s="18"/>
      <c r="B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1.25" customHeight="1" x14ac:dyDescent="0.35">
      <c r="A138" s="18"/>
      <c r="B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1.25" customHeight="1" x14ac:dyDescent="0.35">
      <c r="A139" s="18"/>
      <c r="B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1.25" customHeight="1" x14ac:dyDescent="0.35">
      <c r="A140" s="18"/>
      <c r="B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1.25" customHeight="1" x14ac:dyDescent="0.35">
      <c r="A141" s="18"/>
      <c r="B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1.25" customHeight="1" x14ac:dyDescent="0.35">
      <c r="A142" s="18"/>
      <c r="B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1.25" customHeight="1" x14ac:dyDescent="0.35">
      <c r="A143" s="18"/>
      <c r="B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1.25" customHeight="1" x14ac:dyDescent="0.35">
      <c r="A144" s="18"/>
      <c r="B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1.25" customHeight="1" x14ac:dyDescent="0.35">
      <c r="A145" s="18"/>
      <c r="B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1.25" customHeight="1" x14ac:dyDescent="0.35">
      <c r="A146" s="18"/>
      <c r="B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1.25" customHeight="1" x14ac:dyDescent="0.35">
      <c r="A147" s="18"/>
      <c r="B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1.25" customHeight="1" x14ac:dyDescent="0.35">
      <c r="A148" s="18"/>
      <c r="B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1.25" customHeight="1" x14ac:dyDescent="0.35">
      <c r="A149" s="18"/>
      <c r="B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1.25" customHeight="1" x14ac:dyDescent="0.35">
      <c r="A150" s="18"/>
      <c r="B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1.25" customHeight="1" x14ac:dyDescent="0.35">
      <c r="A151" s="18"/>
      <c r="B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1.25" customHeight="1" x14ac:dyDescent="0.35">
      <c r="A152" s="18"/>
      <c r="B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1.25" customHeight="1" x14ac:dyDescent="0.35">
      <c r="A153" s="18"/>
      <c r="B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1.25" customHeight="1" x14ac:dyDescent="0.35">
      <c r="A154" s="18"/>
      <c r="B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1.25" customHeight="1" x14ac:dyDescent="0.35">
      <c r="A155" s="18"/>
      <c r="B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1.25" customHeight="1" x14ac:dyDescent="0.35">
      <c r="A156" s="18"/>
      <c r="B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1.25" customHeight="1" x14ac:dyDescent="0.35">
      <c r="A157" s="18"/>
      <c r="B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1.25" customHeight="1" x14ac:dyDescent="0.35">
      <c r="A158" s="18"/>
      <c r="B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1.25" customHeight="1" x14ac:dyDescent="0.35">
      <c r="A159" s="18"/>
      <c r="B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1.25" customHeight="1" x14ac:dyDescent="0.35">
      <c r="A160" s="18"/>
      <c r="B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1.25" customHeight="1" x14ac:dyDescent="0.35">
      <c r="A161" s="18"/>
      <c r="B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1.25" customHeight="1" x14ac:dyDescent="0.35">
      <c r="A162" s="18"/>
      <c r="B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1.25" customHeight="1" x14ac:dyDescent="0.35">
      <c r="A163" s="18"/>
      <c r="B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1.25" customHeight="1" x14ac:dyDescent="0.35">
      <c r="A164" s="18"/>
      <c r="B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1.25" customHeight="1" x14ac:dyDescent="0.35">
      <c r="A165" s="18"/>
      <c r="B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1.25" customHeight="1" x14ac:dyDescent="0.35">
      <c r="A166" s="18"/>
      <c r="B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1.25" customHeight="1" x14ac:dyDescent="0.35">
      <c r="A167" s="18"/>
      <c r="B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1.25" customHeight="1" x14ac:dyDescent="0.35">
      <c r="A168" s="18"/>
      <c r="B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1.25" customHeight="1" x14ac:dyDescent="0.35">
      <c r="A169" s="18"/>
      <c r="B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1.25" customHeight="1" x14ac:dyDescent="0.35">
      <c r="A170" s="18"/>
      <c r="B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1.25" customHeight="1" x14ac:dyDescent="0.35">
      <c r="A171" s="18"/>
      <c r="B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1.25" customHeight="1" x14ac:dyDescent="0.35">
      <c r="A172" s="18"/>
      <c r="B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1.25" customHeight="1" x14ac:dyDescent="0.35">
      <c r="A173" s="18"/>
      <c r="B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1.25" customHeight="1" x14ac:dyDescent="0.35">
      <c r="A174" s="18"/>
      <c r="B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1.25" customHeight="1" x14ac:dyDescent="0.35">
      <c r="A175" s="18"/>
      <c r="B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1.25" customHeight="1" x14ac:dyDescent="0.35">
      <c r="A176" s="18"/>
      <c r="B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1.25" customHeight="1" x14ac:dyDescent="0.35">
      <c r="A177" s="18"/>
      <c r="B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1.25" customHeight="1" x14ac:dyDescent="0.35">
      <c r="A178" s="18"/>
      <c r="B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1.25" customHeight="1" x14ac:dyDescent="0.35">
      <c r="A179" s="18"/>
      <c r="B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1.25" customHeight="1" x14ac:dyDescent="0.35">
      <c r="A180" s="18"/>
      <c r="B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1.25" customHeight="1" x14ac:dyDescent="0.35">
      <c r="A181" s="18"/>
      <c r="B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1.25" customHeight="1" x14ac:dyDescent="0.35">
      <c r="A182" s="18"/>
      <c r="B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1.25" customHeight="1" x14ac:dyDescent="0.35">
      <c r="A183" s="18"/>
      <c r="B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1.25" customHeight="1" x14ac:dyDescent="0.35">
      <c r="A184" s="18"/>
      <c r="B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1.25" customHeight="1" x14ac:dyDescent="0.35">
      <c r="A185" s="18"/>
      <c r="B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1.25" customHeight="1" x14ac:dyDescent="0.35">
      <c r="A186" s="18"/>
      <c r="B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1.25" customHeight="1" x14ac:dyDescent="0.35">
      <c r="A187" s="18"/>
      <c r="B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1.25" customHeight="1" x14ac:dyDescent="0.35">
      <c r="A188" s="18"/>
      <c r="B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1.25" customHeight="1" x14ac:dyDescent="0.35">
      <c r="A189" s="18"/>
      <c r="B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1.25" customHeight="1" x14ac:dyDescent="0.35">
      <c r="A190" s="18"/>
      <c r="B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1.25" customHeight="1" x14ac:dyDescent="0.35">
      <c r="A191" s="18"/>
      <c r="B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1.25" customHeight="1" x14ac:dyDescent="0.35">
      <c r="A192" s="18"/>
      <c r="B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1.25" customHeight="1" x14ac:dyDescent="0.35">
      <c r="A193" s="18"/>
      <c r="B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1.25" customHeight="1" x14ac:dyDescent="0.35">
      <c r="A194" s="18"/>
      <c r="B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1.25" customHeight="1" x14ac:dyDescent="0.35">
      <c r="A195" s="18"/>
      <c r="B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1.25" customHeight="1" x14ac:dyDescent="0.35">
      <c r="A196" s="18"/>
      <c r="B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1.25" customHeight="1" x14ac:dyDescent="0.35">
      <c r="A197" s="18"/>
      <c r="B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1.25" customHeight="1" x14ac:dyDescent="0.35">
      <c r="A198" s="18"/>
      <c r="B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1.25" customHeight="1" x14ac:dyDescent="0.35">
      <c r="A199" s="18"/>
      <c r="B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1.25" customHeight="1" x14ac:dyDescent="0.35">
      <c r="A200" s="18"/>
      <c r="B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1.25" customHeight="1" x14ac:dyDescent="0.35">
      <c r="A201" s="18"/>
      <c r="B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1.25" customHeight="1" x14ac:dyDescent="0.35">
      <c r="A202" s="18"/>
      <c r="B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1.25" customHeight="1" x14ac:dyDescent="0.35">
      <c r="A203" s="18"/>
      <c r="B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1.25" customHeight="1" x14ac:dyDescent="0.35">
      <c r="A204" s="18"/>
      <c r="B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1.25" customHeight="1" x14ac:dyDescent="0.35">
      <c r="A205" s="18"/>
      <c r="B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1.25" customHeight="1" x14ac:dyDescent="0.35">
      <c r="A206" s="18"/>
      <c r="B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1.25" customHeight="1" x14ac:dyDescent="0.35">
      <c r="A207" s="18"/>
      <c r="B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1.25" customHeight="1" x14ac:dyDescent="0.35">
      <c r="A208" s="18"/>
      <c r="B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1.25" customHeight="1" x14ac:dyDescent="0.35">
      <c r="A209" s="18"/>
      <c r="B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1.25" customHeight="1" x14ac:dyDescent="0.35">
      <c r="A210" s="18"/>
      <c r="B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1.25" customHeight="1" x14ac:dyDescent="0.35">
      <c r="A211" s="18"/>
      <c r="B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1.25" customHeight="1" x14ac:dyDescent="0.35">
      <c r="A212" s="18"/>
      <c r="B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1.25" customHeight="1" x14ac:dyDescent="0.35">
      <c r="A213" s="18"/>
      <c r="B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1.25" customHeight="1" x14ac:dyDescent="0.35">
      <c r="A214" s="18"/>
      <c r="B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1.25" customHeight="1" x14ac:dyDescent="0.35">
      <c r="A215" s="18"/>
      <c r="B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1.25" customHeight="1" x14ac:dyDescent="0.35">
      <c r="A216" s="18"/>
      <c r="B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1.25" customHeight="1" x14ac:dyDescent="0.35">
      <c r="A217" s="18"/>
      <c r="B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1.25" customHeight="1" x14ac:dyDescent="0.35">
      <c r="A218" s="18"/>
      <c r="B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1.25" customHeight="1" x14ac:dyDescent="0.35">
      <c r="A219" s="18"/>
      <c r="B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1.25" customHeight="1" x14ac:dyDescent="0.35">
      <c r="A220" s="18"/>
      <c r="B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1.25" customHeight="1" x14ac:dyDescent="0.3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1.25" customHeight="1" x14ac:dyDescent="0.3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1.25" customHeight="1" x14ac:dyDescent="0.3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1.25" customHeight="1" x14ac:dyDescent="0.3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1.25" customHeight="1" x14ac:dyDescent="0.3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1.25" customHeight="1" x14ac:dyDescent="0.3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1.25" customHeight="1" x14ac:dyDescent="0.3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1.25" customHeight="1" x14ac:dyDescent="0.3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1.25" customHeight="1" x14ac:dyDescent="0.3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1.25" customHeight="1" x14ac:dyDescent="0.3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1.25" customHeight="1" x14ac:dyDescent="0.3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1.25" customHeight="1" x14ac:dyDescent="0.3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1.25" customHeight="1" x14ac:dyDescent="0.3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1.25" customHeight="1" x14ac:dyDescent="0.3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1.25" customHeight="1" x14ac:dyDescent="0.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1.25" customHeight="1" x14ac:dyDescent="0.3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1.25" customHeight="1" x14ac:dyDescent="0.3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1.25" customHeight="1" x14ac:dyDescent="0.3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1.25" customHeight="1" x14ac:dyDescent="0.3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1.25" customHeight="1" x14ac:dyDescent="0.3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1.25" customHeight="1" x14ac:dyDescent="0.3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1.25" customHeight="1" x14ac:dyDescent="0.3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1.25" customHeight="1" x14ac:dyDescent="0.3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1.25" customHeight="1" x14ac:dyDescent="0.3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1.25" customHeight="1" x14ac:dyDescent="0.3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1.25" customHeight="1" x14ac:dyDescent="0.3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1.25" customHeight="1" x14ac:dyDescent="0.3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1.25" customHeight="1" x14ac:dyDescent="0.3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1.25" customHeight="1" x14ac:dyDescent="0.3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1.25" customHeight="1" x14ac:dyDescent="0.3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1.25" customHeight="1" x14ac:dyDescent="0.3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1.25" customHeight="1" x14ac:dyDescent="0.3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1.25" customHeight="1" x14ac:dyDescent="0.3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1.25" customHeight="1" x14ac:dyDescent="0.3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1.25" customHeight="1" x14ac:dyDescent="0.3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1.25" customHeight="1" x14ac:dyDescent="0.3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1.25" customHeight="1" x14ac:dyDescent="0.3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1.25" customHeight="1" x14ac:dyDescent="0.3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1.25" customHeight="1" x14ac:dyDescent="0.3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1.25" customHeight="1" x14ac:dyDescent="0.3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1.25" customHeight="1" x14ac:dyDescent="0.3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1.25" customHeight="1" x14ac:dyDescent="0.3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1.25" customHeight="1" x14ac:dyDescent="0.3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1.25" customHeight="1" x14ac:dyDescent="0.3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1.25" customHeight="1" x14ac:dyDescent="0.3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1.25" customHeight="1" x14ac:dyDescent="0.3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1.25" customHeight="1" x14ac:dyDescent="0.3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1.25" customHeight="1" x14ac:dyDescent="0.3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1.25" customHeight="1" x14ac:dyDescent="0.3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1.25" customHeight="1" x14ac:dyDescent="0.3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1.25" customHeight="1" x14ac:dyDescent="0.3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1.25" customHeight="1" x14ac:dyDescent="0.3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1.25" customHeight="1" x14ac:dyDescent="0.3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1.25" customHeight="1" x14ac:dyDescent="0.3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1.25" customHeight="1" x14ac:dyDescent="0.3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1.25" customHeight="1" x14ac:dyDescent="0.3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1.25" customHeight="1" x14ac:dyDescent="0.3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1.25" customHeight="1" x14ac:dyDescent="0.3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1.25" customHeight="1" x14ac:dyDescent="0.3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1.25" customHeight="1" x14ac:dyDescent="0.3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1.25" customHeight="1" x14ac:dyDescent="0.3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1.25" customHeight="1" x14ac:dyDescent="0.3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1.25" customHeight="1" x14ac:dyDescent="0.3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1.25" customHeight="1" x14ac:dyDescent="0.3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1.25" customHeight="1" x14ac:dyDescent="0.3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1.25" customHeight="1" x14ac:dyDescent="0.3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1.25" customHeight="1" x14ac:dyDescent="0.3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1.25" customHeight="1" x14ac:dyDescent="0.3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1.25" customHeight="1" x14ac:dyDescent="0.3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1.25" customHeight="1" x14ac:dyDescent="0.3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1.25" customHeight="1" x14ac:dyDescent="0.3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1.25" customHeight="1" x14ac:dyDescent="0.3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1.25" customHeight="1" x14ac:dyDescent="0.3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1.25" customHeight="1" x14ac:dyDescent="0.3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1.25" customHeight="1" x14ac:dyDescent="0.3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1.25" customHeight="1" x14ac:dyDescent="0.3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1.25" customHeight="1" x14ac:dyDescent="0.3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1.25" customHeight="1" x14ac:dyDescent="0.3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1.25" customHeight="1" x14ac:dyDescent="0.3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1.25" customHeight="1" x14ac:dyDescent="0.3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1.25" customHeight="1" x14ac:dyDescent="0.3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1.25" customHeight="1" x14ac:dyDescent="0.3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1.25" customHeight="1" x14ac:dyDescent="0.3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1.25" customHeight="1" x14ac:dyDescent="0.3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1.25" customHeight="1" x14ac:dyDescent="0.3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1.25" customHeight="1" x14ac:dyDescent="0.3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1.25" customHeight="1" x14ac:dyDescent="0.3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1.25" customHeight="1" x14ac:dyDescent="0.3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1.25" customHeight="1" x14ac:dyDescent="0.3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1.25" customHeight="1" x14ac:dyDescent="0.3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1.25" customHeight="1" x14ac:dyDescent="0.3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1.25" customHeight="1" x14ac:dyDescent="0.3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1.25" customHeight="1" x14ac:dyDescent="0.3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1.25" customHeight="1" x14ac:dyDescent="0.3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1.25" customHeight="1" x14ac:dyDescent="0.3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1.25" customHeight="1" x14ac:dyDescent="0.3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1.25" customHeight="1" x14ac:dyDescent="0.3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1.25" customHeight="1" x14ac:dyDescent="0.3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1.25" customHeight="1" x14ac:dyDescent="0.3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1.25" customHeight="1" x14ac:dyDescent="0.3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1.25" customHeight="1" x14ac:dyDescent="0.3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1.25" customHeight="1" x14ac:dyDescent="0.3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1.25" customHeight="1" x14ac:dyDescent="0.3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1.25" customHeight="1" x14ac:dyDescent="0.3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1.25" customHeight="1" x14ac:dyDescent="0.3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1.25" customHeight="1" x14ac:dyDescent="0.3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1.25" customHeight="1" x14ac:dyDescent="0.3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1.25" customHeight="1" x14ac:dyDescent="0.3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1.25" customHeight="1" x14ac:dyDescent="0.3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1.25" customHeight="1" x14ac:dyDescent="0.3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1.25" customHeight="1" x14ac:dyDescent="0.3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1.25" customHeight="1" x14ac:dyDescent="0.3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1.25" customHeight="1" x14ac:dyDescent="0.3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1.25" customHeight="1" x14ac:dyDescent="0.3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1.25" customHeight="1" x14ac:dyDescent="0.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1.25" customHeight="1" x14ac:dyDescent="0.3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1.25" customHeight="1" x14ac:dyDescent="0.3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1.25" customHeight="1" x14ac:dyDescent="0.3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1.25" customHeight="1" x14ac:dyDescent="0.3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1.25" customHeight="1" x14ac:dyDescent="0.3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1.25" customHeight="1" x14ac:dyDescent="0.3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1.25" customHeight="1" x14ac:dyDescent="0.3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1.25" customHeight="1" x14ac:dyDescent="0.3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1.25" customHeight="1" x14ac:dyDescent="0.3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1.25" customHeight="1" x14ac:dyDescent="0.3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1.25" customHeight="1" x14ac:dyDescent="0.3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1.25" customHeight="1" x14ac:dyDescent="0.3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1.25" customHeight="1" x14ac:dyDescent="0.3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1.25" customHeight="1" x14ac:dyDescent="0.3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1.25" customHeight="1" x14ac:dyDescent="0.3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1.25" customHeight="1" x14ac:dyDescent="0.3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1.25" customHeight="1" x14ac:dyDescent="0.3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1.25" customHeight="1" x14ac:dyDescent="0.3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1.25" customHeight="1" x14ac:dyDescent="0.3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1.25" customHeight="1" x14ac:dyDescent="0.3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1.25" customHeight="1" x14ac:dyDescent="0.3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1.25" customHeight="1" x14ac:dyDescent="0.3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1.25" customHeight="1" x14ac:dyDescent="0.3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1.25" customHeight="1" x14ac:dyDescent="0.3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1.25" customHeight="1" x14ac:dyDescent="0.3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1.25" customHeight="1" x14ac:dyDescent="0.3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1.25" customHeight="1" x14ac:dyDescent="0.3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1.25" customHeight="1" x14ac:dyDescent="0.3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1.25" customHeight="1" x14ac:dyDescent="0.3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1.25" customHeight="1" x14ac:dyDescent="0.3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1.25" customHeight="1" x14ac:dyDescent="0.3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1.25" customHeight="1" x14ac:dyDescent="0.3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1.25" customHeight="1" x14ac:dyDescent="0.3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1.25" customHeight="1" x14ac:dyDescent="0.3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1.25" customHeight="1" x14ac:dyDescent="0.3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1.25" customHeight="1" x14ac:dyDescent="0.3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1.25" customHeight="1" x14ac:dyDescent="0.3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1.25" customHeight="1" x14ac:dyDescent="0.3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1.25" customHeight="1" x14ac:dyDescent="0.3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1.25" customHeight="1" x14ac:dyDescent="0.3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1.25" customHeight="1" x14ac:dyDescent="0.3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1.25" customHeight="1" x14ac:dyDescent="0.3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1.25" customHeight="1" x14ac:dyDescent="0.3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1.25" customHeight="1" x14ac:dyDescent="0.3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1.25" customHeight="1" x14ac:dyDescent="0.3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1.25" customHeight="1" x14ac:dyDescent="0.3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1.25" customHeight="1" x14ac:dyDescent="0.3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1.25" customHeight="1" x14ac:dyDescent="0.3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1.25" customHeight="1" x14ac:dyDescent="0.3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1.25" customHeight="1" x14ac:dyDescent="0.3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1.25" customHeight="1" x14ac:dyDescent="0.3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1.25" customHeight="1" x14ac:dyDescent="0.3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1.25" customHeight="1" x14ac:dyDescent="0.3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1.25" customHeight="1" x14ac:dyDescent="0.3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1.25" customHeight="1" x14ac:dyDescent="0.3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1.25" customHeight="1" x14ac:dyDescent="0.3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1.25" customHeight="1" x14ac:dyDescent="0.3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1.25" customHeight="1" x14ac:dyDescent="0.3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1.25" customHeight="1" x14ac:dyDescent="0.3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1.25" customHeight="1" x14ac:dyDescent="0.3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1.25" customHeight="1" x14ac:dyDescent="0.3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1.25" customHeight="1" x14ac:dyDescent="0.3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1.25" customHeight="1" x14ac:dyDescent="0.3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1.25" customHeight="1" x14ac:dyDescent="0.3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1.25" customHeight="1" x14ac:dyDescent="0.3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1.25" customHeight="1" x14ac:dyDescent="0.3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1.25" customHeight="1" x14ac:dyDescent="0.3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1.25" customHeight="1" x14ac:dyDescent="0.3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1.25" customHeight="1" x14ac:dyDescent="0.3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1.25" customHeight="1" x14ac:dyDescent="0.3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1.25" customHeight="1" x14ac:dyDescent="0.3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1.25" customHeight="1" x14ac:dyDescent="0.3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1.25" customHeight="1" x14ac:dyDescent="0.3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1.25" customHeight="1" x14ac:dyDescent="0.3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1.25" customHeight="1" x14ac:dyDescent="0.3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1.25" customHeight="1" x14ac:dyDescent="0.3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1.25" customHeight="1" x14ac:dyDescent="0.3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1.25" customHeight="1" x14ac:dyDescent="0.3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1.25" customHeight="1" x14ac:dyDescent="0.3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1.25" customHeight="1" x14ac:dyDescent="0.3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1.25" customHeight="1" x14ac:dyDescent="0.3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1.25" customHeight="1" x14ac:dyDescent="0.3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1.25" customHeight="1" x14ac:dyDescent="0.3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1.25" customHeight="1" x14ac:dyDescent="0.3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1.25" customHeight="1" x14ac:dyDescent="0.3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1.25" customHeight="1" x14ac:dyDescent="0.3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1.25" customHeight="1" x14ac:dyDescent="0.3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1.25" customHeight="1" x14ac:dyDescent="0.3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1.25" customHeight="1" x14ac:dyDescent="0.3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1.25" customHeight="1" x14ac:dyDescent="0.3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1.25" customHeight="1" x14ac:dyDescent="0.3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1.25" customHeight="1" x14ac:dyDescent="0.3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1.25" customHeight="1" x14ac:dyDescent="0.3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1.25" customHeight="1" x14ac:dyDescent="0.3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1.25" customHeight="1" x14ac:dyDescent="0.3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1.25" customHeight="1" x14ac:dyDescent="0.3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1.25" customHeight="1" x14ac:dyDescent="0.3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1.25" customHeight="1" x14ac:dyDescent="0.3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1.25" customHeight="1" x14ac:dyDescent="0.3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1.25" customHeight="1" x14ac:dyDescent="0.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1.25" customHeight="1" x14ac:dyDescent="0.3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1.25" customHeight="1" x14ac:dyDescent="0.3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1.25" customHeight="1" x14ac:dyDescent="0.3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1.25" customHeight="1" x14ac:dyDescent="0.3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1.25" customHeight="1" x14ac:dyDescent="0.3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1.25" customHeight="1" x14ac:dyDescent="0.3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1.25" customHeight="1" x14ac:dyDescent="0.3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1.25" customHeight="1" x14ac:dyDescent="0.3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1.25" customHeight="1" x14ac:dyDescent="0.3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1.25" customHeight="1" x14ac:dyDescent="0.3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1.25" customHeight="1" x14ac:dyDescent="0.3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1.25" customHeight="1" x14ac:dyDescent="0.3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1.25" customHeight="1" x14ac:dyDescent="0.3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1.25" customHeight="1" x14ac:dyDescent="0.3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1.25" customHeight="1" x14ac:dyDescent="0.3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1.25" customHeight="1" x14ac:dyDescent="0.3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1.25" customHeight="1" x14ac:dyDescent="0.3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1.25" customHeight="1" x14ac:dyDescent="0.3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1.25" customHeight="1" x14ac:dyDescent="0.3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1.25" customHeight="1" x14ac:dyDescent="0.3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1.25" customHeight="1" x14ac:dyDescent="0.3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1.25" customHeight="1" x14ac:dyDescent="0.3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1.25" customHeight="1" x14ac:dyDescent="0.3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1.25" customHeight="1" x14ac:dyDescent="0.3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1.25" customHeight="1" x14ac:dyDescent="0.3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1.25" customHeight="1" x14ac:dyDescent="0.3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1.25" customHeight="1" x14ac:dyDescent="0.3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1.25" customHeight="1" x14ac:dyDescent="0.3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1.25" customHeight="1" x14ac:dyDescent="0.3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1.25" customHeight="1" x14ac:dyDescent="0.3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1.25" customHeight="1" x14ac:dyDescent="0.3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1.25" customHeight="1" x14ac:dyDescent="0.3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1.25" customHeight="1" x14ac:dyDescent="0.3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1.25" customHeight="1" x14ac:dyDescent="0.3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1.25" customHeight="1" x14ac:dyDescent="0.3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1.25" customHeight="1" x14ac:dyDescent="0.3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1.25" customHeight="1" x14ac:dyDescent="0.3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1.25" customHeight="1" x14ac:dyDescent="0.3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1.25" customHeight="1" x14ac:dyDescent="0.3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1.25" customHeight="1" x14ac:dyDescent="0.3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1.25" customHeight="1" x14ac:dyDescent="0.3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1.25" customHeight="1" x14ac:dyDescent="0.3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1.25" customHeight="1" x14ac:dyDescent="0.3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1.25" customHeight="1" x14ac:dyDescent="0.3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1.25" customHeight="1" x14ac:dyDescent="0.3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1.25" customHeight="1" x14ac:dyDescent="0.3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1.25" customHeight="1" x14ac:dyDescent="0.3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1.25" customHeight="1" x14ac:dyDescent="0.3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1.25" customHeight="1" x14ac:dyDescent="0.3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1.25" customHeight="1" x14ac:dyDescent="0.3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1.25" customHeight="1" x14ac:dyDescent="0.3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1.25" customHeight="1" x14ac:dyDescent="0.3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1.25" customHeight="1" x14ac:dyDescent="0.3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1.25" customHeight="1" x14ac:dyDescent="0.3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1.25" customHeight="1" x14ac:dyDescent="0.3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1.25" customHeight="1" x14ac:dyDescent="0.3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1.25" customHeight="1" x14ac:dyDescent="0.3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1.25" customHeight="1" x14ac:dyDescent="0.3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1.25" customHeight="1" x14ac:dyDescent="0.3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1.25" customHeight="1" x14ac:dyDescent="0.3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1.25" customHeight="1" x14ac:dyDescent="0.3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1.25" customHeight="1" x14ac:dyDescent="0.3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1.25" customHeight="1" x14ac:dyDescent="0.3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1.25" customHeight="1" x14ac:dyDescent="0.3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1.25" customHeight="1" x14ac:dyDescent="0.3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1.25" customHeight="1" x14ac:dyDescent="0.3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1.25" customHeight="1" x14ac:dyDescent="0.3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1.25" customHeight="1" x14ac:dyDescent="0.3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1.25" customHeight="1" x14ac:dyDescent="0.3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1.25" customHeight="1" x14ac:dyDescent="0.3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1.25" customHeight="1" x14ac:dyDescent="0.3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1.25" customHeight="1" x14ac:dyDescent="0.3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1.25" customHeight="1" x14ac:dyDescent="0.3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1.25" customHeight="1" x14ac:dyDescent="0.3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1.25" customHeight="1" x14ac:dyDescent="0.3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1.25" customHeight="1" x14ac:dyDescent="0.3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1.25" customHeight="1" x14ac:dyDescent="0.3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1.25" customHeight="1" x14ac:dyDescent="0.3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1.25" customHeight="1" x14ac:dyDescent="0.3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1.25" customHeight="1" x14ac:dyDescent="0.3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1.25" customHeight="1" x14ac:dyDescent="0.3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1.25" customHeight="1" x14ac:dyDescent="0.3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1.25" customHeight="1" x14ac:dyDescent="0.3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1.25" customHeight="1" x14ac:dyDescent="0.3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1.25" customHeight="1" x14ac:dyDescent="0.3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1.25" customHeight="1" x14ac:dyDescent="0.3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1.25" customHeight="1" x14ac:dyDescent="0.3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1.25" customHeight="1" x14ac:dyDescent="0.3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1.25" customHeight="1" x14ac:dyDescent="0.3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1.25" customHeight="1" x14ac:dyDescent="0.3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1.25" customHeight="1" x14ac:dyDescent="0.3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1.25" customHeight="1" x14ac:dyDescent="0.3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1.25" customHeight="1" x14ac:dyDescent="0.3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1.25" customHeight="1" x14ac:dyDescent="0.3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1.25" customHeight="1" x14ac:dyDescent="0.3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1.25" customHeight="1" x14ac:dyDescent="0.3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1.25" customHeight="1" x14ac:dyDescent="0.3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1.25" customHeight="1" x14ac:dyDescent="0.3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1.25" customHeight="1" x14ac:dyDescent="0.3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1.25" customHeight="1" x14ac:dyDescent="0.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1.25" customHeight="1" x14ac:dyDescent="0.3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1.25" customHeight="1" x14ac:dyDescent="0.3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1.25" customHeight="1" x14ac:dyDescent="0.3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1.25" customHeight="1" x14ac:dyDescent="0.3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1.25" customHeight="1" x14ac:dyDescent="0.3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1.25" customHeight="1" x14ac:dyDescent="0.3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1.25" customHeight="1" x14ac:dyDescent="0.3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1.25" customHeight="1" x14ac:dyDescent="0.3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1.25" customHeight="1" x14ac:dyDescent="0.3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1.25" customHeight="1" x14ac:dyDescent="0.3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1.25" customHeight="1" x14ac:dyDescent="0.3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1.25" customHeight="1" x14ac:dyDescent="0.3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1.25" customHeight="1" x14ac:dyDescent="0.3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1.25" customHeight="1" x14ac:dyDescent="0.3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1.25" customHeight="1" x14ac:dyDescent="0.3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1.25" customHeight="1" x14ac:dyDescent="0.3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1.25" customHeight="1" x14ac:dyDescent="0.3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1.25" customHeight="1" x14ac:dyDescent="0.3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1.25" customHeight="1" x14ac:dyDescent="0.3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1.25" customHeight="1" x14ac:dyDescent="0.3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1.25" customHeight="1" x14ac:dyDescent="0.3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1.25" customHeight="1" x14ac:dyDescent="0.3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1.25" customHeight="1" x14ac:dyDescent="0.3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1.25" customHeight="1" x14ac:dyDescent="0.3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1.25" customHeight="1" x14ac:dyDescent="0.3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1.25" customHeight="1" x14ac:dyDescent="0.3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1.25" customHeight="1" x14ac:dyDescent="0.3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1.25" customHeight="1" x14ac:dyDescent="0.3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1.25" customHeight="1" x14ac:dyDescent="0.3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1.25" customHeight="1" x14ac:dyDescent="0.3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1.25" customHeight="1" x14ac:dyDescent="0.3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1.25" customHeight="1" x14ac:dyDescent="0.3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1.25" customHeight="1" x14ac:dyDescent="0.3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1.25" customHeight="1" x14ac:dyDescent="0.3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1.25" customHeight="1" x14ac:dyDescent="0.3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1.25" customHeight="1" x14ac:dyDescent="0.3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1.25" customHeight="1" x14ac:dyDescent="0.3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1.25" customHeight="1" x14ac:dyDescent="0.3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1.25" customHeight="1" x14ac:dyDescent="0.3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1.25" customHeight="1" x14ac:dyDescent="0.3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1.25" customHeight="1" x14ac:dyDescent="0.3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1.25" customHeight="1" x14ac:dyDescent="0.3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1.25" customHeight="1" x14ac:dyDescent="0.3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1.25" customHeight="1" x14ac:dyDescent="0.3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1.25" customHeight="1" x14ac:dyDescent="0.3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1.25" customHeight="1" x14ac:dyDescent="0.3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1.25" customHeight="1" x14ac:dyDescent="0.3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1.25" customHeight="1" x14ac:dyDescent="0.3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1.25" customHeight="1" x14ac:dyDescent="0.3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1.25" customHeight="1" x14ac:dyDescent="0.3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1.25" customHeight="1" x14ac:dyDescent="0.3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1.25" customHeight="1" x14ac:dyDescent="0.3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1.25" customHeight="1" x14ac:dyDescent="0.3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1.25" customHeight="1" x14ac:dyDescent="0.3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1.25" customHeight="1" x14ac:dyDescent="0.3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1.25" customHeight="1" x14ac:dyDescent="0.3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1.25" customHeight="1" x14ac:dyDescent="0.3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1.25" customHeight="1" x14ac:dyDescent="0.3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1.25" customHeight="1" x14ac:dyDescent="0.3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1.25" customHeight="1" x14ac:dyDescent="0.3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1.25" customHeight="1" x14ac:dyDescent="0.3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1.25" customHeight="1" x14ac:dyDescent="0.3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1.25" customHeight="1" x14ac:dyDescent="0.3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1.25" customHeight="1" x14ac:dyDescent="0.3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1.25" customHeight="1" x14ac:dyDescent="0.3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1.25" customHeight="1" x14ac:dyDescent="0.3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1.25" customHeight="1" x14ac:dyDescent="0.3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1.25" customHeight="1" x14ac:dyDescent="0.3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1.25" customHeight="1" x14ac:dyDescent="0.3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1.25" customHeight="1" x14ac:dyDescent="0.3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1.25" customHeight="1" x14ac:dyDescent="0.3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1.25" customHeight="1" x14ac:dyDescent="0.3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1.25" customHeight="1" x14ac:dyDescent="0.3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1.25" customHeight="1" x14ac:dyDescent="0.3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1.25" customHeight="1" x14ac:dyDescent="0.3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1.25" customHeight="1" x14ac:dyDescent="0.3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1.25" customHeight="1" x14ac:dyDescent="0.3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1.25" customHeight="1" x14ac:dyDescent="0.3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1.25" customHeight="1" x14ac:dyDescent="0.3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1.25" customHeight="1" x14ac:dyDescent="0.3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1.25" customHeight="1" x14ac:dyDescent="0.3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1.25" customHeight="1" x14ac:dyDescent="0.3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1.25" customHeight="1" x14ac:dyDescent="0.3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1.25" customHeight="1" x14ac:dyDescent="0.3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1.25" customHeight="1" x14ac:dyDescent="0.3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1.25" customHeight="1" x14ac:dyDescent="0.3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1.25" customHeight="1" x14ac:dyDescent="0.3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1.25" customHeight="1" x14ac:dyDescent="0.3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1.25" customHeight="1" x14ac:dyDescent="0.3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1.25" customHeight="1" x14ac:dyDescent="0.3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1.25" customHeight="1" x14ac:dyDescent="0.3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1.25" customHeight="1" x14ac:dyDescent="0.3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1.25" customHeight="1" x14ac:dyDescent="0.3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1.25" customHeight="1" x14ac:dyDescent="0.3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1.25" customHeight="1" x14ac:dyDescent="0.3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1.25" customHeight="1" x14ac:dyDescent="0.3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1.25" customHeight="1" x14ac:dyDescent="0.3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1.25" customHeight="1" x14ac:dyDescent="0.3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1.25" customHeight="1" x14ac:dyDescent="0.3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1.25" customHeight="1" x14ac:dyDescent="0.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1.25" customHeight="1" x14ac:dyDescent="0.3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1.25" customHeight="1" x14ac:dyDescent="0.3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1.25" customHeight="1" x14ac:dyDescent="0.3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1.25" customHeight="1" x14ac:dyDescent="0.3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1.25" customHeight="1" x14ac:dyDescent="0.3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1.25" customHeight="1" x14ac:dyDescent="0.3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1.25" customHeight="1" x14ac:dyDescent="0.3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1.25" customHeight="1" x14ac:dyDescent="0.3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1.25" customHeight="1" x14ac:dyDescent="0.3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1.25" customHeight="1" x14ac:dyDescent="0.3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1.25" customHeight="1" x14ac:dyDescent="0.3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1.25" customHeight="1" x14ac:dyDescent="0.3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1.25" customHeight="1" x14ac:dyDescent="0.3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1.25" customHeight="1" x14ac:dyDescent="0.3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1.25" customHeight="1" x14ac:dyDescent="0.3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1.25" customHeight="1" x14ac:dyDescent="0.3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1.25" customHeight="1" x14ac:dyDescent="0.3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1.25" customHeight="1" x14ac:dyDescent="0.3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1.25" customHeight="1" x14ac:dyDescent="0.3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1.25" customHeight="1" x14ac:dyDescent="0.3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1.25" customHeight="1" x14ac:dyDescent="0.3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1.25" customHeight="1" x14ac:dyDescent="0.3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1.25" customHeight="1" x14ac:dyDescent="0.3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1.25" customHeight="1" x14ac:dyDescent="0.3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1.25" customHeight="1" x14ac:dyDescent="0.3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1.25" customHeight="1" x14ac:dyDescent="0.3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1.25" customHeight="1" x14ac:dyDescent="0.3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1.25" customHeight="1" x14ac:dyDescent="0.3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1.25" customHeight="1" x14ac:dyDescent="0.3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1.25" customHeight="1" x14ac:dyDescent="0.3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1.25" customHeight="1" x14ac:dyDescent="0.3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1.25" customHeight="1" x14ac:dyDescent="0.3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1.25" customHeight="1" x14ac:dyDescent="0.3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1.25" customHeight="1" x14ac:dyDescent="0.3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1.25" customHeight="1" x14ac:dyDescent="0.3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1.25" customHeight="1" x14ac:dyDescent="0.3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1.25" customHeight="1" x14ac:dyDescent="0.3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1.25" customHeight="1" x14ac:dyDescent="0.3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1.25" customHeight="1" x14ac:dyDescent="0.3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1.25" customHeight="1" x14ac:dyDescent="0.3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1.25" customHeight="1" x14ac:dyDescent="0.3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1.25" customHeight="1" x14ac:dyDescent="0.3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1.25" customHeight="1" x14ac:dyDescent="0.3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1.25" customHeight="1" x14ac:dyDescent="0.3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1.25" customHeight="1" x14ac:dyDescent="0.3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1.25" customHeight="1" x14ac:dyDescent="0.3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1.25" customHeight="1" x14ac:dyDescent="0.3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1.25" customHeight="1" x14ac:dyDescent="0.3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1.25" customHeight="1" x14ac:dyDescent="0.3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1.25" customHeight="1" x14ac:dyDescent="0.3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1.25" customHeight="1" x14ac:dyDescent="0.3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1.25" customHeight="1" x14ac:dyDescent="0.3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1.25" customHeight="1" x14ac:dyDescent="0.3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1.25" customHeight="1" x14ac:dyDescent="0.3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1.25" customHeight="1" x14ac:dyDescent="0.3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1.25" customHeight="1" x14ac:dyDescent="0.3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1.25" customHeight="1" x14ac:dyDescent="0.3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1.25" customHeight="1" x14ac:dyDescent="0.3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1.25" customHeight="1" x14ac:dyDescent="0.3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1.25" customHeight="1" x14ac:dyDescent="0.3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1.25" customHeight="1" x14ac:dyDescent="0.3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1.25" customHeight="1" x14ac:dyDescent="0.3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1.25" customHeight="1" x14ac:dyDescent="0.3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1.25" customHeight="1" x14ac:dyDescent="0.3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1.25" customHeight="1" x14ac:dyDescent="0.3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1.25" customHeight="1" x14ac:dyDescent="0.3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1.25" customHeight="1" x14ac:dyDescent="0.3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1.25" customHeight="1" x14ac:dyDescent="0.3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1.25" customHeight="1" x14ac:dyDescent="0.3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1.25" customHeight="1" x14ac:dyDescent="0.3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1.25" customHeight="1" x14ac:dyDescent="0.3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1.25" customHeight="1" x14ac:dyDescent="0.3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1.25" customHeight="1" x14ac:dyDescent="0.3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1.25" customHeight="1" x14ac:dyDescent="0.3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1.25" customHeight="1" x14ac:dyDescent="0.3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1.25" customHeight="1" x14ac:dyDescent="0.3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1.25" customHeight="1" x14ac:dyDescent="0.3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1.25" customHeight="1" x14ac:dyDescent="0.3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1.25" customHeight="1" x14ac:dyDescent="0.3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1.25" customHeight="1" x14ac:dyDescent="0.3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1.25" customHeight="1" x14ac:dyDescent="0.3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1.25" customHeight="1" x14ac:dyDescent="0.3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1.25" customHeight="1" x14ac:dyDescent="0.3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1.25" customHeight="1" x14ac:dyDescent="0.3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1.25" customHeight="1" x14ac:dyDescent="0.3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1.25" customHeight="1" x14ac:dyDescent="0.3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1.25" customHeight="1" x14ac:dyDescent="0.3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1.25" customHeight="1" x14ac:dyDescent="0.3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1.25" customHeight="1" x14ac:dyDescent="0.3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1.25" customHeight="1" x14ac:dyDescent="0.3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1.25" customHeight="1" x14ac:dyDescent="0.3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1.25" customHeight="1" x14ac:dyDescent="0.3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1.25" customHeight="1" x14ac:dyDescent="0.3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1.25" customHeight="1" x14ac:dyDescent="0.3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1.25" customHeight="1" x14ac:dyDescent="0.3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1.25" customHeight="1" x14ac:dyDescent="0.3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1.25" customHeight="1" x14ac:dyDescent="0.3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1.25" customHeight="1" x14ac:dyDescent="0.3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1.25" customHeight="1" x14ac:dyDescent="0.3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1.25" customHeight="1" x14ac:dyDescent="0.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1.25" customHeight="1" x14ac:dyDescent="0.3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1.25" customHeight="1" x14ac:dyDescent="0.3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1.25" customHeight="1" x14ac:dyDescent="0.3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1.25" customHeight="1" x14ac:dyDescent="0.3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1.25" customHeight="1" x14ac:dyDescent="0.3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1.25" customHeight="1" x14ac:dyDescent="0.3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1.25" customHeight="1" x14ac:dyDescent="0.3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1.25" customHeight="1" x14ac:dyDescent="0.3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1.25" customHeight="1" x14ac:dyDescent="0.3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1.25" customHeight="1" x14ac:dyDescent="0.3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1.25" customHeight="1" x14ac:dyDescent="0.3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1.25" customHeight="1" x14ac:dyDescent="0.3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1.25" customHeight="1" x14ac:dyDescent="0.3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1.25" customHeight="1" x14ac:dyDescent="0.3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1.25" customHeight="1" x14ac:dyDescent="0.3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1.25" customHeight="1" x14ac:dyDescent="0.3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1.25" customHeight="1" x14ac:dyDescent="0.3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1.25" customHeight="1" x14ac:dyDescent="0.3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1.25" customHeight="1" x14ac:dyDescent="0.3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1.25" customHeight="1" x14ac:dyDescent="0.3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1.25" customHeight="1" x14ac:dyDescent="0.3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1.25" customHeight="1" x14ac:dyDescent="0.3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1.25" customHeight="1" x14ac:dyDescent="0.3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1.25" customHeight="1" x14ac:dyDescent="0.3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1.25" customHeight="1" x14ac:dyDescent="0.3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1.25" customHeight="1" x14ac:dyDescent="0.3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1.25" customHeight="1" x14ac:dyDescent="0.3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1.25" customHeight="1" x14ac:dyDescent="0.3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1.25" customHeight="1" x14ac:dyDescent="0.3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1.25" customHeight="1" x14ac:dyDescent="0.3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1.25" customHeight="1" x14ac:dyDescent="0.3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1.25" customHeight="1" x14ac:dyDescent="0.3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1.25" customHeight="1" x14ac:dyDescent="0.3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1.25" customHeight="1" x14ac:dyDescent="0.3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1.25" customHeight="1" x14ac:dyDescent="0.3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1.25" customHeight="1" x14ac:dyDescent="0.3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1.25" customHeight="1" x14ac:dyDescent="0.3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1.25" customHeight="1" x14ac:dyDescent="0.3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1.25" customHeight="1" x14ac:dyDescent="0.3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1.25" customHeight="1" x14ac:dyDescent="0.3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1.25" customHeight="1" x14ac:dyDescent="0.3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1.25" customHeight="1" x14ac:dyDescent="0.3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1.25" customHeight="1" x14ac:dyDescent="0.3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1.25" customHeight="1" x14ac:dyDescent="0.3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1.25" customHeight="1" x14ac:dyDescent="0.3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1.25" customHeight="1" x14ac:dyDescent="0.3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1.25" customHeight="1" x14ac:dyDescent="0.3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1.25" customHeight="1" x14ac:dyDescent="0.3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1.25" customHeight="1" x14ac:dyDescent="0.3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1.25" customHeight="1" x14ac:dyDescent="0.3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1.25" customHeight="1" x14ac:dyDescent="0.3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1.25" customHeight="1" x14ac:dyDescent="0.3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1.25" customHeight="1" x14ac:dyDescent="0.3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1.25" customHeight="1" x14ac:dyDescent="0.3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1.25" customHeight="1" x14ac:dyDescent="0.3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1.25" customHeight="1" x14ac:dyDescent="0.3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1.25" customHeight="1" x14ac:dyDescent="0.3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1.25" customHeight="1" x14ac:dyDescent="0.3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1.25" customHeight="1" x14ac:dyDescent="0.3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1.25" customHeight="1" x14ac:dyDescent="0.3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1.25" customHeight="1" x14ac:dyDescent="0.3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1.25" customHeight="1" x14ac:dyDescent="0.3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1.25" customHeight="1" x14ac:dyDescent="0.3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1.25" customHeight="1" x14ac:dyDescent="0.3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1.25" customHeight="1" x14ac:dyDescent="0.3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1.25" customHeight="1" x14ac:dyDescent="0.3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1.25" customHeight="1" x14ac:dyDescent="0.3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1.25" customHeight="1" x14ac:dyDescent="0.3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1.25" customHeight="1" x14ac:dyDescent="0.3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1.25" customHeight="1" x14ac:dyDescent="0.3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1.25" customHeight="1" x14ac:dyDescent="0.3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1.25" customHeight="1" x14ac:dyDescent="0.3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1.25" customHeight="1" x14ac:dyDescent="0.3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1.25" customHeight="1" x14ac:dyDescent="0.3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1.25" customHeight="1" x14ac:dyDescent="0.3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1.25" customHeight="1" x14ac:dyDescent="0.3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1.25" customHeight="1" x14ac:dyDescent="0.3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1.25" customHeight="1" x14ac:dyDescent="0.3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1.25" customHeight="1" x14ac:dyDescent="0.3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1.25" customHeight="1" x14ac:dyDescent="0.3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1.25" customHeight="1" x14ac:dyDescent="0.3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1.25" customHeight="1" x14ac:dyDescent="0.3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1.25" customHeight="1" x14ac:dyDescent="0.3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1.25" customHeight="1" x14ac:dyDescent="0.3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1.25" customHeight="1" x14ac:dyDescent="0.3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1.25" customHeight="1" x14ac:dyDescent="0.3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1.25" customHeight="1" x14ac:dyDescent="0.3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1.25" customHeight="1" x14ac:dyDescent="0.3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1.25" customHeight="1" x14ac:dyDescent="0.3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1.25" customHeight="1" x14ac:dyDescent="0.3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1.25" customHeight="1" x14ac:dyDescent="0.3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1.25" customHeight="1" x14ac:dyDescent="0.3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1.25" customHeight="1" x14ac:dyDescent="0.3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1.25" customHeight="1" x14ac:dyDescent="0.3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1.25" customHeight="1" x14ac:dyDescent="0.3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1.25" customHeight="1" x14ac:dyDescent="0.3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1.25" customHeight="1" x14ac:dyDescent="0.3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1.25" customHeight="1" x14ac:dyDescent="0.3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1.25" customHeight="1" x14ac:dyDescent="0.3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1.25" customHeight="1" x14ac:dyDescent="0.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1.25" customHeight="1" x14ac:dyDescent="0.3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1.25" customHeight="1" x14ac:dyDescent="0.3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1.25" customHeight="1" x14ac:dyDescent="0.3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1.25" customHeight="1" x14ac:dyDescent="0.3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1.25" customHeight="1" x14ac:dyDescent="0.3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1.25" customHeight="1" x14ac:dyDescent="0.3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1.25" customHeight="1" x14ac:dyDescent="0.3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1.25" customHeight="1" x14ac:dyDescent="0.3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1.25" customHeight="1" x14ac:dyDescent="0.3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1.25" customHeight="1" x14ac:dyDescent="0.3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1.25" customHeight="1" x14ac:dyDescent="0.3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1.25" customHeight="1" x14ac:dyDescent="0.3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1.25" customHeight="1" x14ac:dyDescent="0.3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1.25" customHeight="1" x14ac:dyDescent="0.3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1.25" customHeight="1" x14ac:dyDescent="0.3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1.25" customHeight="1" x14ac:dyDescent="0.3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1.25" customHeight="1" x14ac:dyDescent="0.3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1.25" customHeight="1" x14ac:dyDescent="0.3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1.25" customHeight="1" x14ac:dyDescent="0.3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1.25" customHeight="1" x14ac:dyDescent="0.3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1.25" customHeight="1" x14ac:dyDescent="0.3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1.25" customHeight="1" x14ac:dyDescent="0.3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1.25" customHeight="1" x14ac:dyDescent="0.3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1.25" customHeight="1" x14ac:dyDescent="0.3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1.25" customHeight="1" x14ac:dyDescent="0.3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1.25" customHeight="1" x14ac:dyDescent="0.3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1.25" customHeight="1" x14ac:dyDescent="0.3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1.25" customHeight="1" x14ac:dyDescent="0.3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1.25" customHeight="1" x14ac:dyDescent="0.3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1.25" customHeight="1" x14ac:dyDescent="0.3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1.25" customHeight="1" x14ac:dyDescent="0.3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1.25" customHeight="1" x14ac:dyDescent="0.3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1.25" customHeight="1" x14ac:dyDescent="0.3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1.25" customHeight="1" x14ac:dyDescent="0.3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1.25" customHeight="1" x14ac:dyDescent="0.3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1.25" customHeight="1" x14ac:dyDescent="0.3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1.25" customHeight="1" x14ac:dyDescent="0.3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1.25" customHeight="1" x14ac:dyDescent="0.3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1.25" customHeight="1" x14ac:dyDescent="0.3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1.25" customHeight="1" x14ac:dyDescent="0.3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1.25" customHeight="1" x14ac:dyDescent="0.3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1.25" customHeight="1" x14ac:dyDescent="0.3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1.25" customHeight="1" x14ac:dyDescent="0.3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1.25" customHeight="1" x14ac:dyDescent="0.3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1.25" customHeight="1" x14ac:dyDescent="0.3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1.25" customHeight="1" x14ac:dyDescent="0.3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1.25" customHeight="1" x14ac:dyDescent="0.3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1.25" customHeight="1" x14ac:dyDescent="0.3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1.25" customHeight="1" x14ac:dyDescent="0.3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1.25" customHeight="1" x14ac:dyDescent="0.3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1.25" customHeight="1" x14ac:dyDescent="0.3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1.25" customHeight="1" x14ac:dyDescent="0.3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1.25" customHeight="1" x14ac:dyDescent="0.3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1.25" customHeight="1" x14ac:dyDescent="0.3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1.25" customHeight="1" x14ac:dyDescent="0.3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1.25" customHeight="1" x14ac:dyDescent="0.3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1.25" customHeight="1" x14ac:dyDescent="0.3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1.25" customHeight="1" x14ac:dyDescent="0.3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1.25" customHeight="1" x14ac:dyDescent="0.3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1.25" customHeight="1" x14ac:dyDescent="0.3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1.25" customHeight="1" x14ac:dyDescent="0.3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1.25" customHeight="1" x14ac:dyDescent="0.3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1.25" customHeight="1" x14ac:dyDescent="0.3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1.25" customHeight="1" x14ac:dyDescent="0.3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1.25" customHeight="1" x14ac:dyDescent="0.3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1.25" customHeight="1" x14ac:dyDescent="0.3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1.25" customHeight="1" x14ac:dyDescent="0.3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1.25" customHeight="1" x14ac:dyDescent="0.3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1.25" customHeight="1" x14ac:dyDescent="0.3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1.25" customHeight="1" x14ac:dyDescent="0.3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1.25" customHeight="1" x14ac:dyDescent="0.3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1.25" customHeight="1" x14ac:dyDescent="0.3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1.25" customHeight="1" x14ac:dyDescent="0.3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1.25" customHeight="1" x14ac:dyDescent="0.3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1.25" customHeight="1" x14ac:dyDescent="0.3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1.25" customHeight="1" x14ac:dyDescent="0.3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1.25" customHeight="1" x14ac:dyDescent="0.3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1.25" customHeight="1" x14ac:dyDescent="0.3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1.25" customHeight="1" x14ac:dyDescent="0.3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1.25" customHeight="1" x14ac:dyDescent="0.3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1.25" customHeight="1" x14ac:dyDescent="0.3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1.25" customHeight="1" x14ac:dyDescent="0.3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1.25" customHeight="1" x14ac:dyDescent="0.3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1.25" customHeight="1" x14ac:dyDescent="0.3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1.25" customHeight="1" x14ac:dyDescent="0.3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1.25" customHeight="1" x14ac:dyDescent="0.3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1.25" customHeight="1" x14ac:dyDescent="0.3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1.25" customHeight="1" x14ac:dyDescent="0.3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1.25" customHeight="1" x14ac:dyDescent="0.3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1.25" customHeight="1" x14ac:dyDescent="0.3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1.25" customHeight="1" x14ac:dyDescent="0.3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1.25" customHeight="1" x14ac:dyDescent="0.3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1.25" customHeight="1" x14ac:dyDescent="0.3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1.25" customHeight="1" x14ac:dyDescent="0.3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1.25" customHeight="1" x14ac:dyDescent="0.3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1.25" customHeight="1" x14ac:dyDescent="0.3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1.25" customHeight="1" x14ac:dyDescent="0.3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1.25" customHeight="1" x14ac:dyDescent="0.3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1.25" customHeight="1" x14ac:dyDescent="0.3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1.25" customHeight="1" x14ac:dyDescent="0.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1.25" customHeight="1" x14ac:dyDescent="0.3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1.25" customHeight="1" x14ac:dyDescent="0.3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1.25" customHeight="1" x14ac:dyDescent="0.3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1.25" customHeight="1" x14ac:dyDescent="0.3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1.25" customHeight="1" x14ac:dyDescent="0.3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1.25" customHeight="1" x14ac:dyDescent="0.3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1.25" customHeight="1" x14ac:dyDescent="0.3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1.25" customHeight="1" x14ac:dyDescent="0.3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1.25" customHeight="1" x14ac:dyDescent="0.3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1.25" customHeight="1" x14ac:dyDescent="0.3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1.25" customHeight="1" x14ac:dyDescent="0.3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1.25" customHeight="1" x14ac:dyDescent="0.3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1.25" customHeight="1" x14ac:dyDescent="0.3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1.25" customHeight="1" x14ac:dyDescent="0.3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1.25" customHeight="1" x14ac:dyDescent="0.3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1.25" customHeight="1" x14ac:dyDescent="0.3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1.25" customHeight="1" x14ac:dyDescent="0.3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1.25" customHeight="1" x14ac:dyDescent="0.3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1.25" customHeight="1" x14ac:dyDescent="0.3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1.25" customHeight="1" x14ac:dyDescent="0.3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1.25" customHeight="1" x14ac:dyDescent="0.3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1.25" customHeight="1" x14ac:dyDescent="0.3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1.25" customHeight="1" x14ac:dyDescent="0.3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1.25" customHeight="1" x14ac:dyDescent="0.3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1.25" customHeight="1" x14ac:dyDescent="0.3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1.25" customHeight="1" x14ac:dyDescent="0.3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1.25" customHeight="1" x14ac:dyDescent="0.3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1.25" customHeight="1" x14ac:dyDescent="0.3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1.25" customHeight="1" x14ac:dyDescent="0.3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1.25" customHeight="1" x14ac:dyDescent="0.3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1.25" customHeight="1" x14ac:dyDescent="0.3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1.25" customHeight="1" x14ac:dyDescent="0.3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1.25" customHeight="1" x14ac:dyDescent="0.3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1.25" customHeight="1" x14ac:dyDescent="0.3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1.25" customHeight="1" x14ac:dyDescent="0.3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1.25" customHeight="1" x14ac:dyDescent="0.3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1.25" customHeight="1" x14ac:dyDescent="0.3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1.25" customHeight="1" x14ac:dyDescent="0.3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1.25" customHeight="1" x14ac:dyDescent="0.3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1.25" customHeight="1" x14ac:dyDescent="0.3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1.25" customHeight="1" x14ac:dyDescent="0.3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1.25" customHeight="1" x14ac:dyDescent="0.3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1.25" customHeight="1" x14ac:dyDescent="0.3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1.25" customHeight="1" x14ac:dyDescent="0.3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1.25" customHeight="1" x14ac:dyDescent="0.3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1.25" customHeight="1" x14ac:dyDescent="0.3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1.25" customHeight="1" x14ac:dyDescent="0.3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1.25" customHeight="1" x14ac:dyDescent="0.3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1.25" customHeight="1" x14ac:dyDescent="0.3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1.25" customHeight="1" x14ac:dyDescent="0.3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1.25" customHeight="1" x14ac:dyDescent="0.3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1.25" customHeight="1" x14ac:dyDescent="0.3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1.25" customHeight="1" x14ac:dyDescent="0.3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1.25" customHeight="1" x14ac:dyDescent="0.3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1.25" customHeight="1" x14ac:dyDescent="0.3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1.25" customHeight="1" x14ac:dyDescent="0.3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1.25" customHeight="1" x14ac:dyDescent="0.3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1.25" customHeight="1" x14ac:dyDescent="0.3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1.25" customHeight="1" x14ac:dyDescent="0.3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1.25" customHeight="1" x14ac:dyDescent="0.3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1.25" customHeight="1" x14ac:dyDescent="0.3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1.25" customHeight="1" x14ac:dyDescent="0.3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1.25" customHeight="1" x14ac:dyDescent="0.3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1.25" customHeight="1" x14ac:dyDescent="0.3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1.25" customHeight="1" x14ac:dyDescent="0.3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A5:C24" xr:uid="{00000000-0009-0000-0000-000001000000}"/>
  <pageMargins left="0.7" right="0.7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7"/>
  <sheetViews>
    <sheetView zoomScale="85" zoomScaleNormal="85" workbookViewId="0">
      <pane ySplit="1" topLeftCell="A2" activePane="bottomLeft" state="frozen"/>
      <selection pane="bottomLeft" activeCell="C15" sqref="C15"/>
    </sheetView>
  </sheetViews>
  <sheetFormatPr defaultColWidth="14.453125" defaultRowHeight="15" customHeight="1" x14ac:dyDescent="0.35"/>
  <cols>
    <col min="1" max="1" width="20.81640625" customWidth="1"/>
    <col min="2" max="2" width="16.7265625" customWidth="1"/>
    <col min="3" max="3" width="39.453125" customWidth="1"/>
    <col min="4" max="4" width="15.1796875" customWidth="1"/>
    <col min="5" max="5" width="15.453125" customWidth="1"/>
    <col min="6" max="6" width="3.08984375" customWidth="1"/>
    <col min="7" max="7" width="3.36328125" customWidth="1"/>
    <col min="8" max="8" width="3.1796875" customWidth="1"/>
    <col min="9" max="9" width="10.26953125" customWidth="1"/>
    <col min="10" max="10" width="14.453125" customWidth="1"/>
    <col min="11" max="11" width="13.54296875" customWidth="1"/>
    <col min="12" max="12" width="13.453125" customWidth="1"/>
    <col min="13" max="13" width="17.1796875" customWidth="1"/>
    <col min="14" max="14" width="19.1796875" customWidth="1"/>
    <col min="15" max="15" width="6.7265625" customWidth="1"/>
  </cols>
  <sheetData>
    <row r="1" spans="1:15" ht="12.75" customHeight="1" x14ac:dyDescent="0.35">
      <c r="A1" s="19" t="s">
        <v>51</v>
      </c>
      <c r="B1" s="19" t="s">
        <v>52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25</v>
      </c>
      <c r="H1" s="14" t="s">
        <v>26</v>
      </c>
      <c r="I1" s="14" t="s">
        <v>9</v>
      </c>
      <c r="J1" s="14" t="s">
        <v>53</v>
      </c>
      <c r="K1" s="14" t="s">
        <v>54</v>
      </c>
      <c r="L1" s="14" t="s">
        <v>15</v>
      </c>
      <c r="M1" s="20" t="s">
        <v>55</v>
      </c>
      <c r="N1" s="14" t="s">
        <v>56</v>
      </c>
      <c r="O1" s="14" t="s">
        <v>57</v>
      </c>
    </row>
    <row r="2" spans="1:15" ht="12.75" customHeight="1" x14ac:dyDescent="0.35">
      <c r="A2" s="21" t="str">
        <f t="shared" ref="A2" si="0">CONCATENATE(C2,D2,E2,F2,G2,H2)</f>
        <v>IAAF World Indoor ChampionshipsDay 01</v>
      </c>
      <c r="B2" s="21" t="str">
        <f t="shared" ref="B2:B4" si="1">CONCATENATE(A2,M2)</f>
        <v>IAAF World Indoor ChampionshipsDay 0146101</v>
      </c>
      <c r="C2" s="27" t="s">
        <v>73</v>
      </c>
      <c r="D2" s="28" t="s">
        <v>100</v>
      </c>
      <c r="E2" s="22"/>
      <c r="F2" s="15"/>
      <c r="G2" s="15"/>
      <c r="H2" s="15"/>
      <c r="I2" s="45">
        <v>46101</v>
      </c>
      <c r="J2" s="23">
        <v>0.37847222222222221</v>
      </c>
      <c r="K2" s="23">
        <v>0.52777777777777779</v>
      </c>
      <c r="L2" s="24">
        <v>8.3333333333333329E-2</v>
      </c>
      <c r="M2" s="25">
        <f t="shared" ref="M2:M7" si="2">I2</f>
        <v>46101</v>
      </c>
      <c r="N2" s="26">
        <f t="shared" ref="N2:N7" si="3">IFERROR(I2+J2,"-")</f>
        <v>46101.378472222219</v>
      </c>
      <c r="O2" s="22" t="s">
        <v>46</v>
      </c>
    </row>
    <row r="3" spans="1:15" ht="12.75" customHeight="1" x14ac:dyDescent="0.35">
      <c r="A3" s="21" t="str">
        <f>CONCATENATE(C3,D5,E3,F3,G3,H3)</f>
        <v>IAAF World Indoor ChampionshipsDay 02</v>
      </c>
      <c r="B3" s="21" t="str">
        <f t="shared" si="1"/>
        <v>IAAF World Indoor ChampionshipsDay 0246101</v>
      </c>
      <c r="C3" s="27" t="s">
        <v>73</v>
      </c>
      <c r="D3" s="28" t="s">
        <v>100</v>
      </c>
      <c r="E3" s="22"/>
      <c r="F3" s="15"/>
      <c r="G3" s="15"/>
      <c r="H3" s="15"/>
      <c r="I3" s="45">
        <v>46101</v>
      </c>
      <c r="J3" s="23">
        <v>0.71527777777777779</v>
      </c>
      <c r="K3" s="23">
        <v>0.85416666666666663</v>
      </c>
      <c r="L3" s="24">
        <v>8.3333333333333329E-2</v>
      </c>
      <c r="M3" s="25">
        <f t="shared" si="2"/>
        <v>46101</v>
      </c>
      <c r="N3" s="26">
        <f t="shared" si="3"/>
        <v>46101.715277777781</v>
      </c>
      <c r="O3" s="22" t="s">
        <v>46</v>
      </c>
    </row>
    <row r="4" spans="1:15" ht="12.75" customHeight="1" x14ac:dyDescent="0.35">
      <c r="A4" s="21" t="str">
        <f t="shared" ref="A4:A7" si="4">CONCATENATE(C4,D6,E4,F4,G4,H4)</f>
        <v>IAAF World Indoor ChampionshipsDay 03</v>
      </c>
      <c r="B4" s="21" t="str">
        <f t="shared" ref="B4:B7" si="5">CONCATENATE(A4,M4)</f>
        <v>IAAF World Indoor ChampionshipsDay 0346102</v>
      </c>
      <c r="C4" s="27" t="s">
        <v>73</v>
      </c>
      <c r="D4" s="28" t="s">
        <v>104</v>
      </c>
      <c r="E4" s="22"/>
      <c r="F4" s="15"/>
      <c r="G4" s="15"/>
      <c r="H4" s="15"/>
      <c r="I4" s="45">
        <v>46102</v>
      </c>
      <c r="J4" s="23">
        <v>0.37847222222222221</v>
      </c>
      <c r="K4" s="23">
        <v>0.51388888888888884</v>
      </c>
      <c r="L4" s="24">
        <v>8.3333333333333329E-2</v>
      </c>
      <c r="M4" s="25">
        <f t="shared" si="2"/>
        <v>46102</v>
      </c>
      <c r="N4" s="26">
        <f t="shared" si="3"/>
        <v>46102.378472222219</v>
      </c>
      <c r="O4" s="22" t="s">
        <v>46</v>
      </c>
    </row>
    <row r="5" spans="1:15" ht="12.75" customHeight="1" x14ac:dyDescent="0.35">
      <c r="A5" s="21" t="str">
        <f t="shared" si="4"/>
        <v>IAAF World Indoor ChampionshipsDay 03</v>
      </c>
      <c r="B5" s="21" t="str">
        <f t="shared" si="5"/>
        <v>IAAF World Indoor ChampionshipsDay 0346102</v>
      </c>
      <c r="C5" s="27" t="s">
        <v>73</v>
      </c>
      <c r="D5" s="28" t="s">
        <v>104</v>
      </c>
      <c r="E5" s="22"/>
      <c r="F5" s="15"/>
      <c r="G5" s="15"/>
      <c r="H5" s="15"/>
      <c r="I5" s="45">
        <v>46102</v>
      </c>
      <c r="J5" s="23">
        <v>0.72569444444444442</v>
      </c>
      <c r="K5" s="23">
        <v>0.85416666666666663</v>
      </c>
      <c r="L5" s="24">
        <v>8.3333333333333329E-2</v>
      </c>
      <c r="M5" s="25">
        <f t="shared" si="2"/>
        <v>46102</v>
      </c>
      <c r="N5" s="26">
        <f t="shared" si="3"/>
        <v>46102.725694444445</v>
      </c>
      <c r="O5" s="22" t="s">
        <v>46</v>
      </c>
    </row>
    <row r="6" spans="1:15" ht="12.75" customHeight="1" x14ac:dyDescent="0.35">
      <c r="A6" s="21" t="str">
        <f t="shared" si="4"/>
        <v>IAAF World Indoor Championships</v>
      </c>
      <c r="B6" s="21" t="str">
        <f t="shared" si="5"/>
        <v>IAAF World Indoor Championships46103</v>
      </c>
      <c r="C6" s="27" t="s">
        <v>73</v>
      </c>
      <c r="D6" s="28" t="s">
        <v>107</v>
      </c>
      <c r="E6" s="22"/>
      <c r="F6" s="15"/>
      <c r="G6" s="15"/>
      <c r="H6" s="15"/>
      <c r="I6" s="45">
        <v>46103</v>
      </c>
      <c r="J6" s="23">
        <v>0.37847222222222221</v>
      </c>
      <c r="K6" s="23">
        <v>0.52083333333333337</v>
      </c>
      <c r="L6" s="24">
        <v>8.3333333333333329E-2</v>
      </c>
      <c r="M6" s="25">
        <f t="shared" si="2"/>
        <v>46103</v>
      </c>
      <c r="N6" s="26">
        <f t="shared" si="3"/>
        <v>46103.378472222219</v>
      </c>
      <c r="O6" s="22" t="s">
        <v>46</v>
      </c>
    </row>
    <row r="7" spans="1:15" ht="12.75" customHeight="1" x14ac:dyDescent="0.35">
      <c r="A7" s="21" t="str">
        <f t="shared" si="4"/>
        <v>IAAF World Indoor Championships</v>
      </c>
      <c r="B7" s="21" t="str">
        <f t="shared" si="5"/>
        <v>IAAF World Indoor Championships46103</v>
      </c>
      <c r="C7" s="27" t="s">
        <v>73</v>
      </c>
      <c r="D7" s="28" t="s">
        <v>107</v>
      </c>
      <c r="E7" s="22"/>
      <c r="F7" s="15"/>
      <c r="G7" s="15"/>
      <c r="H7" s="15"/>
      <c r="I7" s="45">
        <v>46103</v>
      </c>
      <c r="J7" s="23">
        <v>0.69444444444444442</v>
      </c>
      <c r="K7" s="23">
        <v>0.82986111111111116</v>
      </c>
      <c r="L7" s="24">
        <v>8.3333333333333329E-2</v>
      </c>
      <c r="M7" s="25">
        <f t="shared" si="2"/>
        <v>46103</v>
      </c>
      <c r="N7" s="26">
        <f t="shared" si="3"/>
        <v>46103.694444444445</v>
      </c>
      <c r="O7" s="22" t="s">
        <v>46</v>
      </c>
    </row>
  </sheetData>
  <autoFilter ref="A1:O7" xr:uid="{00000000-0009-0000-0000-000002000000}"/>
  <phoneticPr fontId="9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Worksheet</vt:lpstr>
      <vt:lpstr>Data</vt:lpstr>
      <vt:lpstr>Fixtures list</vt:lpstr>
      <vt:lpstr>BC</vt:lpstr>
      <vt:lpstr>'Fixtures list'!competition</vt:lpstr>
      <vt:lpstr>Concatenate_General</vt:lpstr>
      <vt:lpstr>Date</vt:lpstr>
      <vt:lpstr>Event</vt:lpstr>
      <vt:lpstr>Fixture</vt:lpstr>
      <vt:lpstr>Market</vt:lpstr>
      <vt:lpstr>Matchday</vt:lpstr>
      <vt:lpstr>Start_Time</vt:lpstr>
      <vt:lpstr>'Fixtures list'!type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kai.lei</dc:creator>
  <cp:lastModifiedBy>Kumari Apurva</cp:lastModifiedBy>
  <dcterms:created xsi:type="dcterms:W3CDTF">2012-09-21T13:09:58Z</dcterms:created>
  <dcterms:modified xsi:type="dcterms:W3CDTF">2026-04-28T19:06:14Z</dcterms:modified>
</cp:coreProperties>
</file>